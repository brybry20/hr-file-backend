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680" firstSheet="6" activeTab="8"/>
  </bookViews>
  <sheets>
    <sheet name="DELTAPLUS-EMPLOYEES DIRECTORY" sheetId="1" r:id="rId1"/>
    <sheet name="RESIGNED EMPLOYEES" sheetId="16" r:id="rId2"/>
    <sheet name="Bank Account" sheetId="6" r:id="rId3"/>
    <sheet name="SMART PLAN" sheetId="7" r:id="rId4"/>
    <sheet name="LAPTOP" sheetId="18" r:id="rId5"/>
    <sheet name="Sizes of Shoes and Shirts" sheetId="8" r:id="rId6"/>
    <sheet name="MOBILE PHONE" sheetId="17" r:id="rId7"/>
    <sheet name="2025-Christmas Plans" sheetId="11" r:id="rId8"/>
    <sheet name="TOLL" sheetId="19" r:id="rId9"/>
    <sheet name="Sizes of Jackets" sheetId="9" r:id="rId10"/>
    <sheet name="BIRTHDAY'S" sheetId="2" r:id="rId11"/>
    <sheet name="13th Month-2024" sheetId="10" r:id="rId12"/>
    <sheet name="Deductions" sheetId="3" r:id="rId13"/>
  </sheets>
  <externalReferences>
    <externalReference r:id="rId14"/>
  </externalReferences>
  <definedNames>
    <definedName name="_xlnm.Print_Area" localSheetId="7">'2025-Christmas Plans'!$A$1:$M$38</definedName>
    <definedName name="_xlnm.Print_Area" localSheetId="12">Deductions!$A$1:$O$39</definedName>
    <definedName name="_xlnm.Print_Area" localSheetId="0">'DELTAPLUS-EMPLOYEES DIRECTORY'!$B$1:$O$38</definedName>
    <definedName name="_xlnm.Print_Area" localSheetId="9">'Sizes of Jackets'!$A$10:$H$43</definedName>
    <definedName name="_xlnm.Print_Area" localSheetId="5">'Sizes of Shoes and Shirts'!$A$1:$H$34</definedName>
    <definedName name="_xlnm.Print_Area" localSheetId="3">'SMART PLAN'!$A$1:$H$16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color rgb="FF000000"/>
            <rFont val="Arial"/>
            <charset val="134"/>
          </rPr>
          <t xml:space="preserve">Simultaneously press the "Windows key" (located between Ctrl and Alt) and the "Pause key" (at the top right of your keyboard)
... you see the "Hostname".datacenter.dpg.loc
</t>
        </r>
      </text>
    </comment>
    <comment ref="E1" authorId="0">
      <text>
        <r>
          <rPr>
            <sz val="10"/>
            <color rgb="FF000000"/>
            <rFont val="Arial"/>
            <charset val="134"/>
          </rPr>
          <t>Simultaneously press the "Windows key" (located between Ctrl and Alt) and the "Pause key" (at the top right of your keyboard)
... you see the Windows Version</t>
        </r>
      </text>
    </comment>
    <comment ref="I1" authorId="0">
      <text>
        <r>
          <rPr>
            <sz val="10"/>
            <color rgb="FF000000"/>
            <rFont val="Arial"/>
            <charset val="134"/>
          </rPr>
          <t>here's how to check
https://drive.google.com/file/d/1N9Be5ImZTrH3Hk6Uu2mNquSozV3QoCqF/view?usp=sharing</t>
        </r>
      </text>
    </comment>
  </commentList>
</comments>
</file>

<file path=xl/sharedStrings.xml><?xml version="1.0" encoding="utf-8"?>
<sst xmlns="http://schemas.openxmlformats.org/spreadsheetml/2006/main" count="1781" uniqueCount="837">
  <si>
    <t>DELTAPLUS PHILIPPINES INC.</t>
  </si>
  <si>
    <t>EMPLOYEES DIRECTORY</t>
  </si>
  <si>
    <t xml:space="preserve">NAME </t>
  </si>
  <si>
    <t>POSITION</t>
  </si>
  <si>
    <t>DIPLOMA</t>
  </si>
  <si>
    <t>DATE STARTED</t>
  </si>
  <si>
    <t>DATE REGULARIZED</t>
  </si>
  <si>
    <t>EMPLOYMENT STATUS</t>
  </si>
  <si>
    <t>SALARY</t>
  </si>
  <si>
    <t>SSS</t>
  </si>
  <si>
    <t>PHILHEALTH</t>
  </si>
  <si>
    <t>PAGIBIG</t>
  </si>
  <si>
    <t>TIN</t>
  </si>
  <si>
    <t>CP/Viber No.</t>
  </si>
  <si>
    <t>OFFICIAL EMAIL ADDRESS</t>
  </si>
  <si>
    <t>HOME ADDRESS</t>
  </si>
  <si>
    <t>ADMIN</t>
  </si>
  <si>
    <t>Evangelista, Maria Eleanor Becina</t>
  </si>
  <si>
    <t>Market Unit Manager</t>
  </si>
  <si>
    <t>Master's Degree</t>
  </si>
  <si>
    <t>NOV.18, 2020</t>
  </si>
  <si>
    <t>MAY 18, 2024</t>
  </si>
  <si>
    <t>REGULAR</t>
  </si>
  <si>
    <t>0415506306</t>
  </si>
  <si>
    <t>080251613366</t>
  </si>
  <si>
    <t>121039193213</t>
  </si>
  <si>
    <t>240976836000</t>
  </si>
  <si>
    <t>09985864548</t>
  </si>
  <si>
    <t>leah.evangelista@deltaplus.ph</t>
  </si>
  <si>
    <t>9042 Bougainvillea St. Patria Village, Del Remedio, San Pablo City, Laguna</t>
  </si>
  <si>
    <t>Ceniza, Evangeline Gonzalvo</t>
  </si>
  <si>
    <t>HR&amp;Admin Officer</t>
  </si>
  <si>
    <t>College Graduate</t>
  </si>
  <si>
    <t>MAR.06, 2024</t>
  </si>
  <si>
    <t>SEPT.06, 2024</t>
  </si>
  <si>
    <t>3415460151</t>
  </si>
  <si>
    <t>100251226460</t>
  </si>
  <si>
    <t>121108422016</t>
  </si>
  <si>
    <t>273022746000</t>
  </si>
  <si>
    <t>09190754643</t>
  </si>
  <si>
    <t>evangeline.ceniza@deltaplus.ph</t>
  </si>
  <si>
    <t>232 Ancheta Apartment Door -E, San Nicolas 1, Bacoor City, Cavite</t>
  </si>
  <si>
    <t>Labado, Ronel Ogcila</t>
  </si>
  <si>
    <t>Utility/Housekeeper</t>
  </si>
  <si>
    <t>High School Graduate</t>
  </si>
  <si>
    <t>OCT.14,2019</t>
  </si>
  <si>
    <t>APRIL 14, 2020</t>
  </si>
  <si>
    <t>3448177631</t>
  </si>
  <si>
    <t>082015611339</t>
  </si>
  <si>
    <t>121262244114</t>
  </si>
  <si>
    <t>09658294827</t>
  </si>
  <si>
    <t>ronelabado@gmail.com</t>
  </si>
  <si>
    <t>Blk.115 Lot 4 Phase 3, Paliparan 3, Dasmarinas Cavite</t>
  </si>
  <si>
    <t>Leano, Mark Ading Mendiola</t>
  </si>
  <si>
    <t>Messenger/Collector</t>
  </si>
  <si>
    <t>JULY 21, 2021</t>
  </si>
  <si>
    <t>JAN.21, 2021</t>
  </si>
  <si>
    <t>3435632901</t>
  </si>
  <si>
    <t>020509812382</t>
  </si>
  <si>
    <t>121111140254</t>
  </si>
  <si>
    <t>317426662000</t>
  </si>
  <si>
    <t>09155211292</t>
  </si>
  <si>
    <t>markading@gmail.com</t>
  </si>
  <si>
    <t>Blk.91 Lot 6 Purok 6 Upper Bicutan, Taguig City</t>
  </si>
  <si>
    <t>FINANCE &amp; ACCTG.</t>
  </si>
  <si>
    <t>Rios, Leordielle Reyes</t>
  </si>
  <si>
    <t>Finance Manager</t>
  </si>
  <si>
    <t>NOV.04,2024</t>
  </si>
  <si>
    <t>MAY 04,2024</t>
  </si>
  <si>
    <t>3399583646'</t>
  </si>
  <si>
    <t>121013542687'</t>
  </si>
  <si>
    <t>244970374000</t>
  </si>
  <si>
    <t>09212155698</t>
  </si>
  <si>
    <t>Blk.5 Lot 2 Pgase-4 Cypress St., Rhonaville Townhomes Gate 1, Zapote, Las Pinas</t>
  </si>
  <si>
    <t>Guerra, Madellyne</t>
  </si>
  <si>
    <t>Accounting Supervisor</t>
  </si>
  <si>
    <t>Oct.22, 2025</t>
  </si>
  <si>
    <t>Oct.22,2025</t>
  </si>
  <si>
    <t>PROBI</t>
  </si>
  <si>
    <t>Bonete, Jea Angela</t>
  </si>
  <si>
    <t>Acctg. Asst.-AP</t>
  </si>
  <si>
    <t>Jan.2, 2026</t>
  </si>
  <si>
    <t>Jan.2,2026</t>
  </si>
  <si>
    <t>Borromeo, Felicisimo Minas</t>
  </si>
  <si>
    <t>Acctg. Assistant-AR</t>
  </si>
  <si>
    <t>FEB.11, 2025</t>
  </si>
  <si>
    <t>FEB.11,2026</t>
  </si>
  <si>
    <t>0448656252</t>
  </si>
  <si>
    <t>212502115348</t>
  </si>
  <si>
    <t>121346089631</t>
  </si>
  <si>
    <t>09055083475</t>
  </si>
  <si>
    <t>felicisimo.borromeo@deltaplus.ph</t>
  </si>
  <si>
    <t>Centro, Brgy. Buli, San Agustin Romblon</t>
  </si>
  <si>
    <t>SALES DEPARTMENT</t>
  </si>
  <si>
    <t>Magallanes, Francis</t>
  </si>
  <si>
    <t>National Sales Manager</t>
  </si>
  <si>
    <t>NOV.13, 2020</t>
  </si>
  <si>
    <t>MAY 13, 2021</t>
  </si>
  <si>
    <t>3344648015</t>
  </si>
  <si>
    <t>010506010549</t>
  </si>
  <si>
    <t>101001742179</t>
  </si>
  <si>
    <t>227927808000</t>
  </si>
  <si>
    <t>09992201768</t>
  </si>
  <si>
    <t>francis.magallanes@deltaplus.ph</t>
  </si>
  <si>
    <t>21H Corumi Cor. Inaman Masambong, Quezon City</t>
  </si>
  <si>
    <t>Vargas, Mario Pagcaliwagan</t>
  </si>
  <si>
    <t>Sales Development Manager</t>
  </si>
  <si>
    <t>MAY 7, 2025</t>
  </si>
  <si>
    <t>NOV.7, 2025</t>
  </si>
  <si>
    <t>EXTENDED PROBI</t>
  </si>
  <si>
    <t>0411732844</t>
  </si>
  <si>
    <t>010250845001</t>
  </si>
  <si>
    <t>250211628000</t>
  </si>
  <si>
    <t>'250211628000</t>
  </si>
  <si>
    <t>Dalipit East, Alitagtag Batangas</t>
  </si>
  <si>
    <t>Macrohon, Patrixia Nicole</t>
  </si>
  <si>
    <t>Sales Rep-NL</t>
  </si>
  <si>
    <t>Diocena, Arvin Jay Santos</t>
  </si>
  <si>
    <t>Sales Assistant</t>
  </si>
  <si>
    <t>College Level</t>
  </si>
  <si>
    <t>SEPT.30,2024</t>
  </si>
  <si>
    <t>MARCH 30, 2024</t>
  </si>
  <si>
    <t>3498410186'</t>
  </si>
  <si>
    <t>210256305563</t>
  </si>
  <si>
    <t>121288594895'</t>
  </si>
  <si>
    <t>606634206000</t>
  </si>
  <si>
    <t>09774609624'</t>
  </si>
  <si>
    <t>arvindiocena00@gmail.com</t>
  </si>
  <si>
    <t>Blk.103 L11 Melody Plains Subd. San Jose Del Monte Bulacan</t>
  </si>
  <si>
    <t>Figueroa, Mariella Izon</t>
  </si>
  <si>
    <t>Marketing Officer</t>
  </si>
  <si>
    <t>FEB. 27, 2025</t>
  </si>
  <si>
    <t>AUG.27, 2025</t>
  </si>
  <si>
    <t>0443798953</t>
  </si>
  <si>
    <t>082552750051</t>
  </si>
  <si>
    <t>121304893190</t>
  </si>
  <si>
    <t>619054868000</t>
  </si>
  <si>
    <t>09617246850</t>
  </si>
  <si>
    <t>Phase 3 Block 9 Lot 31 Celina Plains, Brgy. Pooc, Sta. Rosa City</t>
  </si>
  <si>
    <t>Rogacion, Maria Benigna</t>
  </si>
  <si>
    <t>Sales Asst.</t>
  </si>
  <si>
    <t>DEC. 09, 2025</t>
  </si>
  <si>
    <t>Tolentino, Sarabelle</t>
  </si>
  <si>
    <t>Sales Admin Supervisor</t>
  </si>
  <si>
    <t>DEC. 10,2025</t>
  </si>
  <si>
    <t>WAREHOUSE &amp; LOGISTICS</t>
  </si>
  <si>
    <t>Atam, Sarze Bansil</t>
  </si>
  <si>
    <t>Driver</t>
  </si>
  <si>
    <t>JULY 15, 2019</t>
  </si>
  <si>
    <t>JAN.15,2020</t>
  </si>
  <si>
    <t>3409340708</t>
  </si>
  <si>
    <t>030504694239</t>
  </si>
  <si>
    <t>108001013669</t>
  </si>
  <si>
    <t>268803402000</t>
  </si>
  <si>
    <t>09367876989</t>
  </si>
  <si>
    <t>sarzgwapo@gmail.com</t>
  </si>
  <si>
    <t>Blk.52 Lot 22 Woodstock homes Brgy. Navark, General Trias, Cavite</t>
  </si>
  <si>
    <t>Balagat, Mac James Guevarra</t>
  </si>
  <si>
    <t>WH Preparator</t>
  </si>
  <si>
    <t>HS Undergraduate</t>
  </si>
  <si>
    <t>MAY 3, 2021</t>
  </si>
  <si>
    <t>NOV.3,2021</t>
  </si>
  <si>
    <t>092012576236</t>
  </si>
  <si>
    <t>121107860170</t>
  </si>
  <si>
    <t>422294867000</t>
  </si>
  <si>
    <t>09519808831</t>
  </si>
  <si>
    <t>Purok-3 Sucat, Muntinlupa City</t>
  </si>
  <si>
    <t>Ballena, Geraldo Alvis</t>
  </si>
  <si>
    <t>Supply Chain Manager</t>
  </si>
  <si>
    <t>DEC.18, 2017</t>
  </si>
  <si>
    <t>JUNE 18, 2018</t>
  </si>
  <si>
    <t>3368726146</t>
  </si>
  <si>
    <t>030503788817</t>
  </si>
  <si>
    <t>108000944120</t>
  </si>
  <si>
    <t>255725290000</t>
  </si>
  <si>
    <t>09655924438</t>
  </si>
  <si>
    <t>bong.ballena@deltaplus.ph</t>
  </si>
  <si>
    <t>Blk.63 Lot 10 Southsquare Village, Phase 1, Brgy. Pasong Kawayan II, General Trias Cavite</t>
  </si>
  <si>
    <t>Ballena, Junicio Alvis</t>
  </si>
  <si>
    <t>Driver/Helper</t>
  </si>
  <si>
    <t>JULY 11, 2019</t>
  </si>
  <si>
    <t>JAN.11, 2020</t>
  </si>
  <si>
    <t>0121518963</t>
  </si>
  <si>
    <t>060501306943</t>
  </si>
  <si>
    <t>121253073177</t>
  </si>
  <si>
    <t>514915864000</t>
  </si>
  <si>
    <t>09161185303</t>
  </si>
  <si>
    <t>Jballena22@gmail.com</t>
  </si>
  <si>
    <t>0671 Quirino Ave., Brgy. San Dionisio, Paranaque City</t>
  </si>
  <si>
    <t>Canatoy, Michael John Espares</t>
  </si>
  <si>
    <t>Warehouse Supervisor</t>
  </si>
  <si>
    <t>JULY 10, 2019</t>
  </si>
  <si>
    <t>JAN.10, 2020</t>
  </si>
  <si>
    <t>210254125711</t>
  </si>
  <si>
    <t>121180008580</t>
  </si>
  <si>
    <t>754938717000</t>
  </si>
  <si>
    <t>09958469157</t>
  </si>
  <si>
    <t>mj.canatoy@deltaplus.ph</t>
  </si>
  <si>
    <t>Blk.6 Lot 10 SEC 3 Phase 1, Pabahay 2000 Brgy.Muzon, SJPM Bulacan</t>
  </si>
  <si>
    <t>Garcia, Rey Neo</t>
  </si>
  <si>
    <t>Helper</t>
  </si>
  <si>
    <t>JULY 17, 2019</t>
  </si>
  <si>
    <t>JAN.17, 2020</t>
  </si>
  <si>
    <t>212506581459</t>
  </si>
  <si>
    <t>121180015929</t>
  </si>
  <si>
    <t>398163671000</t>
  </si>
  <si>
    <t>09918335347</t>
  </si>
  <si>
    <t>violatorey@gmail.com</t>
  </si>
  <si>
    <t>Blk.56 Lot 11 San Fabian St.,Melody Plains, Brgy. Muzon, SJDM Bulacan</t>
  </si>
  <si>
    <t>Genova, Ramel Bermio</t>
  </si>
  <si>
    <t>JULY 12, 2019</t>
  </si>
  <si>
    <t>JAN.12, 2020</t>
  </si>
  <si>
    <t>3466682629</t>
  </si>
  <si>
    <t>030513585140</t>
  </si>
  <si>
    <t>121196335026</t>
  </si>
  <si>
    <t>09161185392</t>
  </si>
  <si>
    <t>ramelgenova1974@gmail.com</t>
  </si>
  <si>
    <t>Mabuhay 2000 Dasmarinas Cavite</t>
  </si>
  <si>
    <t>Hilario, Reynold Cadavis</t>
  </si>
  <si>
    <t>3427874094</t>
  </si>
  <si>
    <t>210500978001</t>
  </si>
  <si>
    <t>121017657986</t>
  </si>
  <si>
    <t>000200002000</t>
  </si>
  <si>
    <t>09464940643</t>
  </si>
  <si>
    <t>reynoldhilario44@gmail.com</t>
  </si>
  <si>
    <t>224 Sapphire St., Deparo 2 Brgy.170, Caloocan City</t>
  </si>
  <si>
    <t>Interino, Nicky Boy Trio</t>
  </si>
  <si>
    <t>3478007496</t>
  </si>
  <si>
    <t>030263257622</t>
  </si>
  <si>
    <t>121232108612</t>
  </si>
  <si>
    <t>394120225000</t>
  </si>
  <si>
    <t>09102625102</t>
  </si>
  <si>
    <t>niczyinterino@gmail.com</t>
  </si>
  <si>
    <t>33K Ermin Garcia Street, Cubao, Quezon City</t>
  </si>
  <si>
    <t>Lozada, Ryan Posanso</t>
  </si>
  <si>
    <t>MAY 16, 2023</t>
  </si>
  <si>
    <t>NOV.16, 2023</t>
  </si>
  <si>
    <t>010260605475</t>
  </si>
  <si>
    <t>121192193199</t>
  </si>
  <si>
    <t>735325586000</t>
  </si>
  <si>
    <t>09481532686</t>
  </si>
  <si>
    <t>lozadaryan762@gmail.com</t>
  </si>
  <si>
    <t>124-B Maginhawa Street, Pasay City</t>
  </si>
  <si>
    <t>Marcos, Gladys Joy Remigio</t>
  </si>
  <si>
    <t>0129244828</t>
  </si>
  <si>
    <t>060502532033</t>
  </si>
  <si>
    <t>121253074107</t>
  </si>
  <si>
    <t>395703136000</t>
  </si>
  <si>
    <t>09358564703</t>
  </si>
  <si>
    <t>jhongmarcos22@gmail.com</t>
  </si>
  <si>
    <t>Zone 3 #57 Mocag, Baggro, Cagayan</t>
  </si>
  <si>
    <t>Navida, Donald Eslao</t>
  </si>
  <si>
    <t>MAR.04, 2024</t>
  </si>
  <si>
    <t>SEPT.04,2024</t>
  </si>
  <si>
    <t>010511211064</t>
  </si>
  <si>
    <t>121098573073</t>
  </si>
  <si>
    <t>397521911000</t>
  </si>
  <si>
    <t>09161600683</t>
  </si>
  <si>
    <t>donaldnavida96@gmail.com</t>
  </si>
  <si>
    <t>Purok-3 0550 Lake Side,Brgy.Sucat, Muntinlupa City</t>
  </si>
  <si>
    <t>Tatel, Alexander Teope</t>
  </si>
  <si>
    <t>3340631738</t>
  </si>
  <si>
    <t>032003970123</t>
  </si>
  <si>
    <t>121173884073</t>
  </si>
  <si>
    <t>264039369000</t>
  </si>
  <si>
    <t>09161185389</t>
  </si>
  <si>
    <t>89 Ermin Street, Cubao, Quezon City</t>
  </si>
  <si>
    <t>Temones, Kennett Bozar</t>
  </si>
  <si>
    <t>010263274798</t>
  </si>
  <si>
    <t>121228924233</t>
  </si>
  <si>
    <t>626648763000</t>
  </si>
  <si>
    <t>09278733936</t>
  </si>
  <si>
    <t>kennett.temones@yahoo.com</t>
  </si>
  <si>
    <t>801 Ermita Garcia St., Pinagkaisahan, Quezon City</t>
  </si>
  <si>
    <t>Moraleda, Samuel</t>
  </si>
  <si>
    <t>OCT.23, 2025</t>
  </si>
  <si>
    <t>APR. 23, 2025</t>
  </si>
  <si>
    <t>0511786729</t>
  </si>
  <si>
    <t>100251990659</t>
  </si>
  <si>
    <t>1321265171369</t>
  </si>
  <si>
    <t>498774909000</t>
  </si>
  <si>
    <t>09278259675</t>
  </si>
  <si>
    <t>RESIGNED EMPLOYEES</t>
  </si>
  <si>
    <t>DEGREE</t>
  </si>
  <si>
    <t>DATE SEPARATED</t>
  </si>
  <si>
    <t>Asistio, Christine Haley Santos</t>
  </si>
  <si>
    <t>NOV.03, 2023</t>
  </si>
  <si>
    <t>APRIL 03, 2023</t>
  </si>
  <si>
    <t>FEB. 21, 2025</t>
  </si>
  <si>
    <t>3528283393</t>
  </si>
  <si>
    <t>010261102574</t>
  </si>
  <si>
    <t>121197111560</t>
  </si>
  <si>
    <t>635-310-428-000</t>
  </si>
  <si>
    <t>0998586478</t>
  </si>
  <si>
    <t>christine.asistio@deltaplus.ph</t>
  </si>
  <si>
    <t>Blk.10 Lot 17 Adda Townhomes Salinas I, Bacoor City, Cavite</t>
  </si>
  <si>
    <t>Carretas, Israel Lex Catanghal</t>
  </si>
  <si>
    <t>FEB.26, 2018</t>
  </si>
  <si>
    <t>AUG.26, 2018</t>
  </si>
  <si>
    <t>FEB.15, 2025</t>
  </si>
  <si>
    <t>0433604248</t>
  </si>
  <si>
    <t>010506599321</t>
  </si>
  <si>
    <t>102001268071</t>
  </si>
  <si>
    <t>280-195-633-000</t>
  </si>
  <si>
    <t>09992206577</t>
  </si>
  <si>
    <t>lex.carretas@deltaplus.ph</t>
  </si>
  <si>
    <t>46 Aguiirre Ave., Phase 5, Pilar Village, Las Pinas City</t>
  </si>
  <si>
    <t>Masilungan, Harold Reyes</t>
  </si>
  <si>
    <t>Sales  Assistant</t>
  </si>
  <si>
    <t>Undergrad</t>
  </si>
  <si>
    <t>AUG.1, 2016</t>
  </si>
  <si>
    <t>FEB. 1, 2017</t>
  </si>
  <si>
    <t>MAY 16, 2025</t>
  </si>
  <si>
    <t>0420431534</t>
  </si>
  <si>
    <t>030506012720</t>
  </si>
  <si>
    <t>121082105937</t>
  </si>
  <si>
    <t>626-648-839-000</t>
  </si>
  <si>
    <t>09959836780</t>
  </si>
  <si>
    <t>harold.masilungan@deltaplus.ph</t>
  </si>
  <si>
    <t>673 Purok-4 Barangay Sucat, Muntinlupa City</t>
  </si>
  <si>
    <t>Gatchalian, Jefferson Rivera</t>
  </si>
  <si>
    <t>Marketing Assistant</t>
  </si>
  <si>
    <t>FEB.14, 2022</t>
  </si>
  <si>
    <t>AUG.14, 2022</t>
  </si>
  <si>
    <t>3466142334</t>
  </si>
  <si>
    <t>030261420046</t>
  </si>
  <si>
    <t>121200761756</t>
  </si>
  <si>
    <t>340-137-565-000</t>
  </si>
  <si>
    <t>09986549771</t>
  </si>
  <si>
    <t>jeff.gatchalian@deltaplus.ph</t>
  </si>
  <si>
    <t>128 Dangay St., Project 7 Veterans Village, Quezon City</t>
  </si>
  <si>
    <t>Echague, Francis Angelo Panganiban</t>
  </si>
  <si>
    <t>Area Sales Manager-Area 2</t>
  </si>
  <si>
    <t>APRIL 5, 2021</t>
  </si>
  <si>
    <t>OCT.5, 2021</t>
  </si>
  <si>
    <t>JULY 31, 2025</t>
  </si>
  <si>
    <t>0415208293</t>
  </si>
  <si>
    <t>090500989822</t>
  </si>
  <si>
    <t>935-031-582-000</t>
  </si>
  <si>
    <t>09985861108</t>
  </si>
  <si>
    <t>francis.echague@deltaplus.ph</t>
  </si>
  <si>
    <t>Blk.4 Lot 5 Hidden Flower St. The Glens at Parkspring, Brgy. San Antonio, San Pedro Laguna</t>
  </si>
  <si>
    <t>Lagas, Arlene Namoco</t>
  </si>
  <si>
    <t>Acctg.Assistant-Treasury</t>
  </si>
  <si>
    <t>JULY 19, 2019</t>
  </si>
  <si>
    <t>JAN. 19, 2019</t>
  </si>
  <si>
    <t>0920136067</t>
  </si>
  <si>
    <t>030512377269</t>
  </si>
  <si>
    <t>121212126689</t>
  </si>
  <si>
    <t>285-252-520-000</t>
  </si>
  <si>
    <t>09957182610</t>
  </si>
  <si>
    <t>arlene.lagas@deltaplus.ph</t>
  </si>
  <si>
    <t>Blk.15 Lot10 Fairwayview Subd., Salawag, Dasmarinas Cavite</t>
  </si>
  <si>
    <t>Aydalla, Karla</t>
  </si>
  <si>
    <t>Acctg. Assistant-AP</t>
  </si>
  <si>
    <t>FEB.21, 2024</t>
  </si>
  <si>
    <t>AUG.21,2024</t>
  </si>
  <si>
    <t>SEPT.12, 2025</t>
  </si>
  <si>
    <t>500-693-423-000</t>
  </si>
  <si>
    <t>09061238563</t>
  </si>
  <si>
    <t>karla.aydalla@deltaplus.ph</t>
  </si>
  <si>
    <t>233 Sapphire St.,San Antonio, CAA, BF Int'l, Las Pinas City</t>
  </si>
  <si>
    <t>Del Rosario, Michael Nepomuceno</t>
  </si>
  <si>
    <t>Area Sales Manager-Area 1</t>
  </si>
  <si>
    <t>JUNE 1, 2016</t>
  </si>
  <si>
    <t>DEC.1, 2016</t>
  </si>
  <si>
    <t>121048715353</t>
  </si>
  <si>
    <t>199201929000</t>
  </si>
  <si>
    <t>09992201773</t>
  </si>
  <si>
    <t>michael.delrosario@deltaplus.ph</t>
  </si>
  <si>
    <t>9A Asiacrest Mansion, M. Paterno Street, San Juan, Metro Manila</t>
  </si>
  <si>
    <t>Abilar, Nickah Joy Bulasa</t>
  </si>
  <si>
    <t>OCT.26, 2016</t>
  </si>
  <si>
    <t>APRIL 26, 2023</t>
  </si>
  <si>
    <t>3444704325</t>
  </si>
  <si>
    <t>020510680236</t>
  </si>
  <si>
    <t>121150940001</t>
  </si>
  <si>
    <t>447273450000</t>
  </si>
  <si>
    <t>09173078417</t>
  </si>
  <si>
    <t>nickah.abilar@deltaplus.ph</t>
  </si>
  <si>
    <t>Blk.88 Lot 18 Zone 6, Upper Bicutan, Taguig</t>
  </si>
  <si>
    <t>Geres, Mariel Jimenez</t>
  </si>
  <si>
    <t>JAN. 17, 2020</t>
  </si>
  <si>
    <t>3445966939</t>
  </si>
  <si>
    <t>010257302682</t>
  </si>
  <si>
    <t>121148084543</t>
  </si>
  <si>
    <t>323474695000</t>
  </si>
  <si>
    <t>09161185390</t>
  </si>
  <si>
    <t>mariel.geres@deltaplus.ph</t>
  </si>
  <si>
    <t>760 Barangay Cupang, Muntinlupa City</t>
  </si>
  <si>
    <t>Reyes, Robin Garbacio</t>
  </si>
  <si>
    <t>030258107205</t>
  </si>
  <si>
    <t>121149697163</t>
  </si>
  <si>
    <t>444583914000</t>
  </si>
  <si>
    <t>09069152669</t>
  </si>
  <si>
    <t># 25 Ermin Garcia St., Brgy. Pinagkaisahan,Cubao, Quezon City</t>
  </si>
  <si>
    <t>AWOL</t>
  </si>
  <si>
    <t>6737 J. Luna St., La Huerta, Paranaque City</t>
  </si>
  <si>
    <t>Vallejos, Conrey Ian Magallanes</t>
  </si>
  <si>
    <t>Finance &amp; Admin Manager</t>
  </si>
  <si>
    <t>DEC.13, 2023</t>
  </si>
  <si>
    <t>JUNE 13, 2023</t>
  </si>
  <si>
    <t>MAY 2, 2024</t>
  </si>
  <si>
    <t>3376324970</t>
  </si>
  <si>
    <t>190903220698</t>
  </si>
  <si>
    <t>104002679747</t>
  </si>
  <si>
    <t>220-685-420-000</t>
  </si>
  <si>
    <t>09992201769</t>
  </si>
  <si>
    <t>conreyian.vallejos@deltaplus.ph</t>
  </si>
  <si>
    <t>Lagman, John Patrick Lorenzo</t>
  </si>
  <si>
    <t>Tax Compliance Specialist</t>
  </si>
  <si>
    <t>Oct.1,2025</t>
  </si>
  <si>
    <t>3472295880</t>
  </si>
  <si>
    <t>210255308259</t>
  </si>
  <si>
    <t>121214778229</t>
  </si>
  <si>
    <t>342723762000</t>
  </si>
  <si>
    <t>09541979295</t>
  </si>
  <si>
    <t>Bldg.16 Unit 52 Phase 1, Ciudad De Strike, Molino 1, Bacoor City</t>
  </si>
  <si>
    <t>Summary of Accounts</t>
  </si>
  <si>
    <t>ACCOUNT NUMBER</t>
  </si>
  <si>
    <t>1225-0200-6590</t>
  </si>
  <si>
    <t>1225-0205-0050</t>
  </si>
  <si>
    <t>325-002-9320</t>
  </si>
  <si>
    <t>1225-0205-2746</t>
  </si>
  <si>
    <t>1225-0203-7818</t>
  </si>
  <si>
    <t>325-020-3816</t>
  </si>
  <si>
    <t>1225-0202-6982</t>
  </si>
  <si>
    <t>1225-0200-9832</t>
  </si>
  <si>
    <t>1225-0201-5458</t>
  </si>
  <si>
    <t>1225-0205-2738</t>
  </si>
  <si>
    <t>1225-0200-3729</t>
  </si>
  <si>
    <t>1225-0205-7047</t>
  </si>
  <si>
    <t>1225-0203-7798</t>
  </si>
  <si>
    <t>1284-0201-4527</t>
  </si>
  <si>
    <t>1225-0202-9205</t>
  </si>
  <si>
    <t>1225-0204-0659</t>
  </si>
  <si>
    <t>1225-0202-6990</t>
  </si>
  <si>
    <t>1225-0200-9816</t>
  </si>
  <si>
    <t>1225-0202-7040</t>
  </si>
  <si>
    <t>1225-0202-7067</t>
  </si>
  <si>
    <t>1225-0202-7806</t>
  </si>
  <si>
    <t>325-017-5915</t>
  </si>
  <si>
    <t>1225-0203-9162</t>
  </si>
  <si>
    <t>1225-0204-8587</t>
  </si>
  <si>
    <t>1225-0203-7305</t>
  </si>
  <si>
    <t>Marcos, Gladys Joy Remegio</t>
  </si>
  <si>
    <t>1225-0202-7032</t>
  </si>
  <si>
    <t>325-020-7113</t>
  </si>
  <si>
    <t>1225-0205-3122</t>
  </si>
  <si>
    <t>1225-0202-7024</t>
  </si>
  <si>
    <t>Rios, Lordielle Reyes</t>
  </si>
  <si>
    <t>1225-0205-7179</t>
  </si>
  <si>
    <t>1225-0200-5543</t>
  </si>
  <si>
    <t>1225-0202-7814</t>
  </si>
  <si>
    <t>Vargas, Mario Pagcaliwanagan</t>
  </si>
  <si>
    <t>DELTAPLUS PHILIPPINES INC</t>
  </si>
  <si>
    <t>0671 QUIRINO AVE., BRGY SAN DIONISIO, PARANAQUE CITY</t>
  </si>
  <si>
    <t>NAME</t>
  </si>
  <si>
    <t>Position</t>
  </si>
  <si>
    <t>PLAN</t>
  </si>
  <si>
    <t>Phone Models</t>
  </si>
  <si>
    <t>One time Cashout</t>
  </si>
  <si>
    <t>Phone No.</t>
  </si>
  <si>
    <t>Account No.</t>
  </si>
  <si>
    <t>Reassigned to</t>
  </si>
  <si>
    <t>Maria Eleanor B. Evangelista</t>
  </si>
  <si>
    <t>PLAN2000</t>
  </si>
  <si>
    <t>Samsung A55 5G 128GB</t>
  </si>
  <si>
    <t>6014420507</t>
  </si>
  <si>
    <t>Michael Anthony Martin N. Del Rosario</t>
  </si>
  <si>
    <t>Area Sales Manager</t>
  </si>
  <si>
    <t>iPhone16</t>
  </si>
  <si>
    <t>0786562953</t>
  </si>
  <si>
    <t>Patrixia Nicole Macrohon-sim only</t>
  </si>
  <si>
    <t>Francis Echague</t>
  </si>
  <si>
    <t>Phone ONLY Reassigned to Jill Rios</t>
  </si>
  <si>
    <t>0787340075</t>
  </si>
  <si>
    <t>Mario Vargas-sim only</t>
  </si>
  <si>
    <t>Francis F. Magallanes</t>
  </si>
  <si>
    <t>0786562929</t>
  </si>
  <si>
    <t>Geraldo Ballena</t>
  </si>
  <si>
    <t>Oppo Reno 12 PRO w/ENCO BUDS</t>
  </si>
  <si>
    <t>09992231629</t>
  </si>
  <si>
    <t>6014420485</t>
  </si>
  <si>
    <t>Evangeline G. Ceniza</t>
  </si>
  <si>
    <t>Samsung A35 5G</t>
  </si>
  <si>
    <t>Leordielle R. Rios</t>
  </si>
  <si>
    <t>Finance &amp; Acctg. Manager</t>
  </si>
  <si>
    <t>Free</t>
  </si>
  <si>
    <t>0786562937</t>
  </si>
  <si>
    <t>Felicisimo Borromeo</t>
  </si>
  <si>
    <t>Acctg. Asst.-A.R</t>
  </si>
  <si>
    <t>Samsung Galaxy A23</t>
  </si>
  <si>
    <t>09985864478</t>
  </si>
  <si>
    <t>0786649692</t>
  </si>
  <si>
    <t>Mario P. Vargas II</t>
  </si>
  <si>
    <t>Samsung A25 5G</t>
  </si>
  <si>
    <t>0786562945</t>
  </si>
  <si>
    <t>c/o HR</t>
  </si>
  <si>
    <t>Mariella Figueroa</t>
  </si>
  <si>
    <t>iPhone11 64GB</t>
  </si>
  <si>
    <t>09985649771</t>
  </si>
  <si>
    <t>6001219063</t>
  </si>
  <si>
    <t>c/o Nea</t>
  </si>
  <si>
    <t>Hardware type</t>
  </si>
  <si>
    <t>Windows Hostname</t>
  </si>
  <si>
    <t>Brand</t>
  </si>
  <si>
    <t>Serial number or Dell Service Tag</t>
  </si>
  <si>
    <t>Windows Version</t>
  </si>
  <si>
    <t>Windows language</t>
  </si>
  <si>
    <t>Keyboard Type</t>
  </si>
  <si>
    <t xml:space="preserve"> Year of Purchase</t>
  </si>
  <si>
    <t>ClarilogOne well installed</t>
  </si>
  <si>
    <t>Comment</t>
  </si>
  <si>
    <t>Computer is at the office</t>
  </si>
  <si>
    <t>Location at the Office</t>
  </si>
  <si>
    <t>Never at the Office</t>
  </si>
  <si>
    <t>Home Office + Office</t>
  </si>
  <si>
    <t>Used by Multiple users</t>
  </si>
  <si>
    <t>or Used by a Single user</t>
  </si>
  <si>
    <t>Firstame + Lastname of Single user</t>
  </si>
  <si>
    <t>Laptop</t>
  </si>
  <si>
    <t>PH-PHASM04-LTP2</t>
  </si>
  <si>
    <t>DELL</t>
  </si>
  <si>
    <t>7Y2T8Y2</t>
  </si>
  <si>
    <t>Windows 10 Pro</t>
  </si>
  <si>
    <t>English</t>
  </si>
  <si>
    <t>Qwerty EN</t>
  </si>
  <si>
    <t>At employee's possession</t>
  </si>
  <si>
    <t>Leah EVANGELISTA</t>
  </si>
  <si>
    <t>PH-PHASM08-LTP2</t>
  </si>
  <si>
    <t>BV8P6M3</t>
  </si>
  <si>
    <t>Francis MAGALLANES</t>
  </si>
  <si>
    <t>PH-PHASM01-LTP4</t>
  </si>
  <si>
    <t>923T8Y2</t>
  </si>
  <si>
    <t>Michael DEL ROSARIO</t>
  </si>
  <si>
    <t>PH-PHNSM-LTP</t>
  </si>
  <si>
    <t>BX2T8Y2</t>
  </si>
  <si>
    <t>MARIO VARGAS</t>
  </si>
  <si>
    <t>Desktop</t>
  </si>
  <si>
    <t>PH-PHACS02-DKT2</t>
  </si>
  <si>
    <t>BGM44F3</t>
  </si>
  <si>
    <t>Sales Back Office</t>
  </si>
  <si>
    <t>Nickah ABILAR</t>
  </si>
  <si>
    <t>PH-ADMIN-DSP</t>
  </si>
  <si>
    <t>32V1WV2</t>
  </si>
  <si>
    <t>Mariel GERES</t>
  </si>
  <si>
    <t>PH-PHACS01-DKT2</t>
  </si>
  <si>
    <t>9GM44F3</t>
  </si>
  <si>
    <t>Harold MASILUNGAN reassign to Arvin</t>
  </si>
  <si>
    <t>PH-PHASM02-LTP2</t>
  </si>
  <si>
    <t>2V2T8Y2</t>
  </si>
  <si>
    <t>Supply Chain Department</t>
  </si>
  <si>
    <t>Bong BALLENA</t>
  </si>
  <si>
    <t>PH-PHLOG03-DTP2</t>
  </si>
  <si>
    <t>8GM44F3</t>
  </si>
  <si>
    <t>Michael John CANATOY</t>
  </si>
  <si>
    <t xml:space="preserve">PH-PHACS02-DTP </t>
  </si>
  <si>
    <t>9YXD8F2</t>
  </si>
  <si>
    <t>Windows 8.1 Pro</t>
  </si>
  <si>
    <t>replaced and sold</t>
  </si>
  <si>
    <t>WAREHOUSE</t>
  </si>
  <si>
    <t>PH-PHACC03-DTP2</t>
  </si>
  <si>
    <t>JVZNXM3</t>
  </si>
  <si>
    <t>Finance Department</t>
  </si>
  <si>
    <t>Leordielle RIOS</t>
  </si>
  <si>
    <t>PH-ACC05-DKT</t>
  </si>
  <si>
    <t>666YXD3</t>
  </si>
  <si>
    <t>KARLA AYDALLA</t>
  </si>
  <si>
    <t>PH-ACC03-DKT</t>
  </si>
  <si>
    <t>3364WV2</t>
  </si>
  <si>
    <t>PH-ACC02-DSP</t>
  </si>
  <si>
    <t>33HXVV2</t>
  </si>
  <si>
    <t>Arlene LAGAS</t>
  </si>
  <si>
    <t>PH-PHASM09-LTP</t>
  </si>
  <si>
    <t>4R1WJM2</t>
  </si>
  <si>
    <t>Evangeline CENIZA</t>
  </si>
  <si>
    <t>PH-PHAMKG01-LTP</t>
  </si>
  <si>
    <t>H7TM6M3</t>
  </si>
  <si>
    <t>Mariella FIGUEROA</t>
  </si>
  <si>
    <t>UNIFORM FOR 2025</t>
  </si>
  <si>
    <t>BW-PP</t>
  </si>
  <si>
    <t>Muscle-Tee</t>
  </si>
  <si>
    <t>Size of Shoes</t>
  </si>
  <si>
    <t>Size of Shirt</t>
  </si>
  <si>
    <t>BLACK</t>
  </si>
  <si>
    <t>NAVY BLUE</t>
  </si>
  <si>
    <t>TOTAL</t>
  </si>
  <si>
    <t>Large</t>
  </si>
  <si>
    <t>Small</t>
  </si>
  <si>
    <t>Medium</t>
  </si>
  <si>
    <t>Ballena, Junicio Albiz</t>
  </si>
  <si>
    <t>Guerra, Madellyne I.</t>
  </si>
  <si>
    <t>XL</t>
  </si>
  <si>
    <t>UNIT</t>
  </si>
  <si>
    <t>SERIAL NUMBER</t>
  </si>
  <si>
    <t>CELLPHONE NUMBER</t>
  </si>
  <si>
    <t>09992207143</t>
  </si>
  <si>
    <t>RZCX50LXCVJ</t>
  </si>
  <si>
    <t>JGM2M1VV54</t>
  </si>
  <si>
    <t xml:space="preserve">Mario P. Vargas II </t>
  </si>
  <si>
    <t>RRCX902L1HH</t>
  </si>
  <si>
    <t>Geraldo A. Ballena</t>
  </si>
  <si>
    <t>SWWGEUQWSCIFT86T</t>
  </si>
  <si>
    <t>RRCX900B7TJ</t>
  </si>
  <si>
    <t>REY GARCIA</t>
  </si>
  <si>
    <t>REDMI A3</t>
  </si>
  <si>
    <t>09204513544</t>
  </si>
  <si>
    <t>JUNICIO BALLENA</t>
  </si>
  <si>
    <t>09204513545</t>
  </si>
  <si>
    <t>lost</t>
  </si>
  <si>
    <t>REDMI 14C</t>
  </si>
  <si>
    <t>58563/65N601727</t>
  </si>
  <si>
    <t>DONALD NAVIDA</t>
  </si>
  <si>
    <t>09204513534</t>
  </si>
  <si>
    <t>MARK ADING LEANO</t>
  </si>
  <si>
    <t>VIVO-V2344</t>
  </si>
  <si>
    <t>10HEB5FU5Q0005Q</t>
  </si>
  <si>
    <t>09363406249</t>
  </si>
  <si>
    <t>GLADYS JOY MARCOS</t>
  </si>
  <si>
    <t>OPPO A58</t>
  </si>
  <si>
    <t>09669835991</t>
  </si>
  <si>
    <t>REALME</t>
  </si>
  <si>
    <t>FILICISIMO M. BORROMEO</t>
  </si>
  <si>
    <t>SAMSUNG GALAXY A23</t>
  </si>
  <si>
    <t>RR8T906PZLX</t>
  </si>
  <si>
    <t>RR8W1046D7L</t>
  </si>
  <si>
    <t>MARIEL GERES</t>
  </si>
  <si>
    <t>RR8TA00LBKT</t>
  </si>
  <si>
    <t>ARVIN DIOCENA</t>
  </si>
  <si>
    <t>SAMSUNG A14</t>
  </si>
  <si>
    <t>R9WW40H3R5M</t>
  </si>
  <si>
    <t>CHRISTMAS PARTY 2025</t>
  </si>
  <si>
    <t>Employees Year Recognition 2025</t>
  </si>
  <si>
    <t>APPLIANCES</t>
  </si>
  <si>
    <t>RICE</t>
  </si>
  <si>
    <t>HAM</t>
  </si>
  <si>
    <t>CHRISTMAS BASKET</t>
  </si>
  <si>
    <t>GC</t>
  </si>
  <si>
    <t>Employee of the Year</t>
  </si>
  <si>
    <t>GC+Certificate</t>
  </si>
  <si>
    <t>Leadership Award</t>
  </si>
  <si>
    <t>Service &amp; Dedication Award</t>
  </si>
  <si>
    <t>Most Diligent Award</t>
  </si>
  <si>
    <t>Teamwork &amp; Collaboration Award</t>
  </si>
  <si>
    <t>Most Productive Employee</t>
  </si>
  <si>
    <t>Borromeo, Felicisimo</t>
  </si>
  <si>
    <t>Almost Perfect Attendance</t>
  </si>
  <si>
    <t>Top Performer of the Year</t>
  </si>
  <si>
    <t>Rookie of the Year</t>
  </si>
  <si>
    <t>Most Resourceful Award</t>
  </si>
  <si>
    <t>Most Resilient Employee</t>
  </si>
  <si>
    <t>Best in Christmas Décor</t>
  </si>
  <si>
    <t>Sing &amp; Dance Carol Competition</t>
  </si>
  <si>
    <t>Guerra, Madellyne I</t>
  </si>
  <si>
    <t>Litson</t>
  </si>
  <si>
    <t>Food for Catering</t>
  </si>
  <si>
    <t>Games</t>
  </si>
  <si>
    <t>Prepared by:</t>
  </si>
  <si>
    <t>Noted by:</t>
  </si>
  <si>
    <t>EVANGELINE G. CENIZA</t>
  </si>
  <si>
    <t>LEORDIELLE R. RIOS</t>
  </si>
  <si>
    <t xml:space="preserve">Moraleda, Samuel </t>
  </si>
  <si>
    <t>HR &amp; Admin Officer</t>
  </si>
  <si>
    <t>Fin &amp; Acctg. Manager</t>
  </si>
  <si>
    <t>Approved by:</t>
  </si>
  <si>
    <t>MARIA ELEANOR B. EVANGELISTA</t>
  </si>
  <si>
    <t>Vargas, Mario II</t>
  </si>
  <si>
    <t>SG. DE GUZMAN, MARK</t>
  </si>
  <si>
    <t>Grand Total:</t>
  </si>
  <si>
    <t>SG. NACION, JOMAR</t>
  </si>
  <si>
    <t xml:space="preserve">TOTAL: </t>
  </si>
  <si>
    <t>ASSIGNED TO</t>
  </si>
  <si>
    <t>TYPE OF CAR</t>
  </si>
  <si>
    <t>PLATE NUMBER</t>
  </si>
  <si>
    <t>AUTOSWEEP ACCT. NO</t>
  </si>
  <si>
    <t>CARD NO.</t>
  </si>
  <si>
    <t>EASYTRIP ACCT. NO.</t>
  </si>
  <si>
    <t>Ramel Genova</t>
  </si>
  <si>
    <t>ISUZU-TRAVIZ</t>
  </si>
  <si>
    <t>NIL8259</t>
  </si>
  <si>
    <t>I315040</t>
  </si>
  <si>
    <t>540000656425</t>
  </si>
  <si>
    <t>Sarze Atam</t>
  </si>
  <si>
    <t>NIN3718</t>
  </si>
  <si>
    <t>I387493</t>
  </si>
  <si>
    <t>540000645826</t>
  </si>
  <si>
    <t>Alexander Tatel</t>
  </si>
  <si>
    <t>NIL8260</t>
  </si>
  <si>
    <t>I387837</t>
  </si>
  <si>
    <t>540000790428</t>
  </si>
  <si>
    <t>ISUZU-TRUCK</t>
  </si>
  <si>
    <t>NIN3714-Truck</t>
  </si>
  <si>
    <t>II49535</t>
  </si>
  <si>
    <t>540000893195</t>
  </si>
  <si>
    <t>NAVARRA</t>
  </si>
  <si>
    <t>LAF2331</t>
  </si>
  <si>
    <t>I820760</t>
  </si>
  <si>
    <t>540000868121</t>
  </si>
  <si>
    <t xml:space="preserve">Mario Vargas </t>
  </si>
  <si>
    <t>Honda Vios</t>
  </si>
  <si>
    <t>NER4087</t>
  </si>
  <si>
    <t>F836618</t>
  </si>
  <si>
    <t>540000123408</t>
  </si>
  <si>
    <t>Michael Del Rosario</t>
  </si>
  <si>
    <t>Honda City</t>
  </si>
  <si>
    <t>Francis Magallanes</t>
  </si>
  <si>
    <t>Mitsubishi Expander</t>
  </si>
  <si>
    <t>NFG4693</t>
  </si>
  <si>
    <t/>
  </si>
  <si>
    <t>540000861804</t>
  </si>
  <si>
    <t>Leah Evangelista</t>
  </si>
  <si>
    <t>Toyota Rush</t>
  </si>
  <si>
    <t>Size</t>
  </si>
  <si>
    <t>bust measurement/cm</t>
  </si>
  <si>
    <t>Inches</t>
  </si>
  <si>
    <t>shoulder breadth/cm</t>
  </si>
  <si>
    <t>Sleeve Length/cm</t>
  </si>
  <si>
    <t>clothes length/cm</t>
  </si>
  <si>
    <t>WEIGHT/KG</t>
  </si>
  <si>
    <t>44.88inch</t>
  </si>
  <si>
    <t>60-67.5</t>
  </si>
  <si>
    <t>2XL</t>
  </si>
  <si>
    <t>46.45inch</t>
  </si>
  <si>
    <t>67.5-75</t>
  </si>
  <si>
    <t>3XL</t>
  </si>
  <si>
    <t>75-82.5</t>
  </si>
  <si>
    <t>4XL</t>
  </si>
  <si>
    <t>82.5-92.5</t>
  </si>
  <si>
    <t>5XL</t>
  </si>
  <si>
    <t>92.5-105</t>
  </si>
  <si>
    <t>PH Size</t>
  </si>
  <si>
    <t>CN Size</t>
  </si>
  <si>
    <t>Size of Jacket</t>
  </si>
  <si>
    <t>Light down Jacket</t>
  </si>
  <si>
    <t>Backpack</t>
  </si>
  <si>
    <t>Canvas Bag</t>
  </si>
  <si>
    <t>T-Shirt</t>
  </si>
  <si>
    <t>REGULARIZED</t>
  </si>
  <si>
    <t>DATE OF BIRTH</t>
  </si>
  <si>
    <t>JANUARY</t>
  </si>
  <si>
    <t>JANUARY 1, 1994</t>
  </si>
  <si>
    <t>JANUARY 8, 1993</t>
  </si>
  <si>
    <t>Acctg. Assistant-Treasury</t>
  </si>
  <si>
    <t>JULY 05, 2015</t>
  </si>
  <si>
    <t>JAN.05,2015</t>
  </si>
  <si>
    <t>JANUARY 22, 1976</t>
  </si>
  <si>
    <t>FEBRUARY</t>
  </si>
  <si>
    <t>MARCH</t>
  </si>
  <si>
    <t>MARCH 02, 1973</t>
  </si>
  <si>
    <t xml:space="preserve"> Evangelista, Maria Eleanor Becina</t>
  </si>
  <si>
    <t>MAY 18, 2021</t>
  </si>
  <si>
    <t>MARCH 07,1982</t>
  </si>
  <si>
    <t>APRIL</t>
  </si>
  <si>
    <t>APRIL 3, 1974</t>
  </si>
  <si>
    <t>APRIL 4,1990</t>
  </si>
  <si>
    <t>Quality Control/WH Preparator</t>
  </si>
  <si>
    <t>APRIL 13, 1996</t>
  </si>
  <si>
    <t>MAY</t>
  </si>
  <si>
    <t>MAY 02, 1978</t>
  </si>
  <si>
    <t>Lababo, Ronel Ogcila</t>
  </si>
  <si>
    <t>MAY 11, 1990</t>
  </si>
  <si>
    <t>MAY 17,1985</t>
  </si>
  <si>
    <t>Warehouse Preparator</t>
  </si>
  <si>
    <t>MAY 17, 1993</t>
  </si>
  <si>
    <t>MAY 29, 1994</t>
  </si>
  <si>
    <t>Sales Admin Assistant</t>
  </si>
  <si>
    <t>MAY 28, 1989</t>
  </si>
  <si>
    <t>MAY 30, 1987</t>
  </si>
  <si>
    <t>JUNE</t>
  </si>
  <si>
    <t>JUNE 14, 1979</t>
  </si>
  <si>
    <t>JUNE 11,1982</t>
  </si>
  <si>
    <t>Area Sales Manager-Area 5</t>
  </si>
  <si>
    <t>JUNE 16, 1979</t>
  </si>
  <si>
    <t>JULY</t>
  </si>
  <si>
    <t>JULY 04, 1993</t>
  </si>
  <si>
    <t>JULY 24, 1981</t>
  </si>
  <si>
    <t>AUGUST</t>
  </si>
  <si>
    <t>AUGUST 05,1992</t>
  </si>
  <si>
    <t>SEPTEMBER</t>
  </si>
  <si>
    <t>Rios. Leordielle R</t>
  </si>
  <si>
    <t>SEPTEMBER 04,1983</t>
  </si>
  <si>
    <t>SEPTEMBER 11, 1974</t>
  </si>
  <si>
    <t>Log. Coor./WH Preparator</t>
  </si>
  <si>
    <t>SEPTEMBER 27, 1997</t>
  </si>
  <si>
    <t>SEPTEMBER 28, 1997</t>
  </si>
  <si>
    <t>OCTOBER</t>
  </si>
  <si>
    <t xml:space="preserve"> Ceniza, Evangeline Gonzalvo</t>
  </si>
  <si>
    <t>OCTOBER 21, 1989</t>
  </si>
  <si>
    <t>NOVEMBER</t>
  </si>
  <si>
    <t>NOVEMBER 10, 1980</t>
  </si>
  <si>
    <t>NOVEMBER 11, 1992</t>
  </si>
  <si>
    <t>NOVEMBER 12,1988</t>
  </si>
  <si>
    <t>NOVEMBER 22, 1987</t>
  </si>
  <si>
    <t>NOVEMBER 29,1995</t>
  </si>
  <si>
    <t>DECEMBER</t>
  </si>
  <si>
    <t>13th Month Pay</t>
  </si>
  <si>
    <t>FINANCE, ACCTG.&amp; ADMIN</t>
  </si>
  <si>
    <t>FEB. 11, 2025</t>
  </si>
  <si>
    <t>AUG.11, 2025</t>
  </si>
  <si>
    <t>FEB.27, 2025</t>
  </si>
  <si>
    <t>AUG. 27, 2025</t>
  </si>
  <si>
    <t>2nd Year High School</t>
  </si>
  <si>
    <t>EMPLOYEES DEDUCTIONS</t>
  </si>
  <si>
    <t>BIR</t>
  </si>
  <si>
    <t>DE MINIMIS</t>
  </si>
  <si>
    <t>WITHHOLDING TAX</t>
  </si>
  <si>
    <t>ER SHARE</t>
  </si>
  <si>
    <t>EE SHARE</t>
  </si>
  <si>
    <t>EE</t>
  </si>
  <si>
    <t>18.904.62</t>
  </si>
  <si>
    <t>JAN. 2, 2026</t>
  </si>
  <si>
    <t>JAN. 2, 2027</t>
  </si>
  <si>
    <t>Acctg. Asst.-AR</t>
  </si>
  <si>
    <t>FEB 11, 2025</t>
  </si>
  <si>
    <t>Acctg. Supervisor</t>
  </si>
  <si>
    <t>NOV.04, 2025</t>
  </si>
  <si>
    <t>NOV. 04, 2026</t>
  </si>
  <si>
    <t>NOV.4,2025</t>
  </si>
  <si>
    <t>MAY 4, 2025</t>
  </si>
  <si>
    <t>Area Sales Manager-SL</t>
  </si>
  <si>
    <t>NOV. 7, 2025</t>
  </si>
  <si>
    <t>Sales Representative-NL</t>
  </si>
  <si>
    <t>JAN.2,2026</t>
  </si>
  <si>
    <t>JULY 2, 2025</t>
  </si>
  <si>
    <t>DEC.10,2025</t>
  </si>
  <si>
    <t>JUNE 10, 2025</t>
  </si>
  <si>
    <t>MAR.30,2024</t>
  </si>
  <si>
    <t>DEC.9,2025</t>
  </si>
  <si>
    <t>JUNE 9, 2025</t>
  </si>
  <si>
    <t>Logistic Asst.</t>
  </si>
  <si>
    <t>Magdaong, Joemer</t>
  </si>
  <si>
    <t>JAN. 05, 2025</t>
  </si>
  <si>
    <t>JULY 05,2025</t>
  </si>
  <si>
    <t>OCT.22,2025</t>
  </si>
  <si>
    <t>APR. 22, 2026</t>
  </si>
  <si>
    <t xml:space="preserve"> Helper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</si>
</sst>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</numFmts>
  <fonts count="6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theme="1"/>
      <name val="Cambria"/>
      <charset val="134"/>
    </font>
    <font>
      <b/>
      <sz val="10"/>
      <color theme="1"/>
      <name val="Cambria"/>
      <charset val="134"/>
    </font>
    <font>
      <b/>
      <sz val="10"/>
      <color rgb="FFFF0000"/>
      <name val="Cambria"/>
      <charset val="134"/>
    </font>
    <font>
      <b/>
      <sz val="11"/>
      <color rgb="FFFF0000"/>
      <name val="Cambria"/>
      <charset val="134"/>
    </font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theme="1"/>
      <name val="Cambria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rgb="FF0070C0"/>
      <name val="Times New Roman"/>
      <charset val="134"/>
    </font>
    <font>
      <b/>
      <sz val="11"/>
      <name val="Times New Roman"/>
      <charset val="134"/>
    </font>
    <font>
      <sz val="11"/>
      <name val="Calibri"/>
      <charset val="134"/>
      <scheme val="minor"/>
    </font>
    <font>
      <sz val="11"/>
      <name val="Times New Roman"/>
      <charset val="134"/>
    </font>
    <font>
      <b/>
      <sz val="1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rgb="FFFF0000"/>
      <name val="Times New Roman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0"/>
      <color rgb="FF000000"/>
      <name val="Arial"/>
      <charset val="134"/>
    </font>
    <font>
      <sz val="11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Arial Narrow"/>
      <charset val="134"/>
    </font>
    <font>
      <sz val="11"/>
      <name val="Arial Narrow"/>
      <charset val="134"/>
    </font>
    <font>
      <u/>
      <sz val="12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sz val="10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50" fillId="0" borderId="12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9" borderId="13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3" fillId="20" borderId="13" applyNumberFormat="0" applyAlignment="0" applyProtection="0">
      <alignment vertical="center"/>
    </xf>
    <xf numFmtId="0" fontId="54" fillId="21" borderId="15" applyNumberFormat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</cellStyleXfs>
  <cellXfs count="26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76" fontId="1" fillId="0" borderId="3" xfId="1" applyFont="1" applyFill="1" applyBorder="1" applyAlignment="1">
      <alignment horizontal="right" vertical="center"/>
    </xf>
    <xf numFmtId="176" fontId="1" fillId="0" borderId="0" xfId="1" applyFont="1" applyFill="1" applyBorder="1" applyAlignment="1">
      <alignment horizontal="center"/>
    </xf>
    <xf numFmtId="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0" fontId="1" fillId="0" borderId="1" xfId="0" applyFont="1" applyFill="1" applyBorder="1"/>
    <xf numFmtId="176" fontId="1" fillId="0" borderId="1" xfId="1" applyFont="1" applyFill="1" applyBorder="1" applyAlignment="1">
      <alignment horizontal="right"/>
    </xf>
    <xf numFmtId="176" fontId="2" fillId="0" borderId="1" xfId="1" applyFont="1" applyFill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76" fontId="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176" fontId="1" fillId="0" borderId="1" xfId="1" applyFont="1" applyBorder="1" applyAlignment="1">
      <alignment horizontal="center"/>
    </xf>
    <xf numFmtId="0" fontId="2" fillId="4" borderId="1" xfId="0" applyFont="1" applyFill="1" applyBorder="1"/>
    <xf numFmtId="0" fontId="1" fillId="4" borderId="1" xfId="0" applyFont="1" applyFill="1" applyBorder="1" applyAlignment="1">
      <alignment horizontal="center"/>
    </xf>
    <xf numFmtId="4" fontId="1" fillId="4" borderId="1" xfId="0" applyNumberFormat="1" applyFont="1" applyFill="1" applyBorder="1" applyAlignment="1">
      <alignment horizontal="right"/>
    </xf>
    <xf numFmtId="4" fontId="1" fillId="4" borderId="1" xfId="0" applyNumberFormat="1" applyFont="1" applyFill="1" applyBorder="1" applyAlignment="1">
      <alignment horizontal="center"/>
    </xf>
    <xf numFmtId="176" fontId="1" fillId="0" borderId="1" xfId="1" applyFont="1" applyBorder="1" applyAlignment="1">
      <alignment horizontal="right"/>
    </xf>
    <xf numFmtId="176" fontId="1" fillId="0" borderId="1" xfId="0" applyNumberFormat="1" applyFont="1" applyBorder="1" applyAlignment="1">
      <alignment horizontal="right"/>
    </xf>
    <xf numFmtId="176" fontId="1" fillId="0" borderId="1" xfId="0" applyNumberFormat="1" applyFont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2" fillId="0" borderId="1" xfId="0" applyFont="1" applyFill="1" applyBorder="1"/>
    <xf numFmtId="4" fontId="1" fillId="0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76" fontId="4" fillId="0" borderId="1" xfId="1" applyFont="1" applyFill="1" applyBorder="1" applyAlignment="1">
      <alignment horizontal="center"/>
    </xf>
    <xf numFmtId="176" fontId="4" fillId="0" borderId="1" xfId="1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76" fontId="5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Fill="1" applyBorder="1"/>
    <xf numFmtId="0" fontId="0" fillId="0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176" fontId="4" fillId="0" borderId="1" xfId="1" applyFont="1" applyFill="1" applyBorder="1" applyAlignment="1"/>
    <xf numFmtId="176" fontId="4" fillId="0" borderId="1" xfId="1" applyFont="1" applyFill="1" applyBorder="1" applyAlignment="1">
      <alignment horizontal="right"/>
    </xf>
    <xf numFmtId="4" fontId="4" fillId="0" borderId="1" xfId="0" applyNumberFormat="1" applyFont="1" applyBorder="1" applyAlignment="1"/>
    <xf numFmtId="0" fontId="5" fillId="4" borderId="1" xfId="0" applyFont="1" applyFill="1" applyBorder="1"/>
    <xf numFmtId="0" fontId="4" fillId="4" borderId="1" xfId="0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6" fontId="4" fillId="0" borderId="1" xfId="1" applyFont="1" applyBorder="1" applyAlignment="1">
      <alignment horizontal="right"/>
    </xf>
    <xf numFmtId="176" fontId="4" fillId="2" borderId="1" xfId="1" applyFont="1" applyFill="1" applyBorder="1" applyAlignment="1">
      <alignment horizontal="right"/>
    </xf>
    <xf numFmtId="176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 applyFill="1"/>
    <xf numFmtId="0" fontId="11" fillId="0" borderId="1" xfId="0" applyFont="1" applyBorder="1"/>
    <xf numFmtId="0" fontId="9" fillId="0" borderId="1" xfId="0" applyFont="1" applyBorder="1"/>
    <xf numFmtId="0" fontId="0" fillId="0" borderId="1" xfId="0" applyBorder="1"/>
    <xf numFmtId="0" fontId="10" fillId="0" borderId="1" xfId="0" applyFont="1" applyFill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1" fillId="8" borderId="1" xfId="0" applyFont="1" applyFill="1" applyBorder="1"/>
    <xf numFmtId="0" fontId="9" fillId="8" borderId="1" xfId="0" applyFont="1" applyFill="1" applyBorder="1"/>
    <xf numFmtId="0" fontId="0" fillId="8" borderId="1" xfId="0" applyFill="1" applyBorder="1"/>
    <xf numFmtId="0" fontId="15" fillId="8" borderId="1" xfId="0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5" fillId="8" borderId="1" xfId="0" applyFont="1" applyFill="1" applyBorder="1"/>
    <xf numFmtId="0" fontId="10" fillId="8" borderId="1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5" fillId="7" borderId="1" xfId="0" applyFont="1" applyFill="1" applyBorder="1"/>
    <xf numFmtId="0" fontId="10" fillId="7" borderId="1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1" fillId="0" borderId="0" xfId="0" applyFont="1"/>
    <xf numFmtId="0" fontId="16" fillId="0" borderId="0" xfId="0" applyFont="1"/>
    <xf numFmtId="0" fontId="17" fillId="9" borderId="4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21" fillId="0" borderId="1" xfId="0" applyFont="1" applyBorder="1"/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2" fillId="0" borderId="1" xfId="0" applyFont="1" applyBorder="1"/>
    <xf numFmtId="0" fontId="23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21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1" fillId="7" borderId="1" xfId="0" applyFont="1" applyFill="1" applyBorder="1"/>
    <xf numFmtId="0" fontId="21" fillId="10" borderId="1" xfId="0" applyFont="1" applyFill="1" applyBorder="1"/>
    <xf numFmtId="0" fontId="24" fillId="10" borderId="1" xfId="0" applyFont="1" applyFill="1" applyBorder="1" applyAlignment="1">
      <alignment horizontal="center"/>
    </xf>
    <xf numFmtId="0" fontId="25" fillId="0" borderId="1" xfId="0" applyFont="1" applyFill="1" applyBorder="1"/>
    <xf numFmtId="0" fontId="2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2" fillId="0" borderId="0" xfId="0" applyFont="1"/>
    <xf numFmtId="3" fontId="0" fillId="0" borderId="0" xfId="0" applyNumberFormat="1" applyAlignment="1">
      <alignment horizontal="center"/>
    </xf>
    <xf numFmtId="3" fontId="11" fillId="0" borderId="0" xfId="0" applyNumberFormat="1" applyFont="1" applyAlignment="1">
      <alignment horizontal="center"/>
    </xf>
    <xf numFmtId="3" fontId="12" fillId="0" borderId="0" xfId="0" applyNumberFormat="1" applyFont="1"/>
    <xf numFmtId="0" fontId="11" fillId="11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0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27" fillId="0" borderId="0" xfId="0" applyFont="1"/>
    <xf numFmtId="0" fontId="0" fillId="0" borderId="1" xfId="0" applyFill="1" applyBorder="1"/>
    <xf numFmtId="0" fontId="8" fillId="0" borderId="1" xfId="0" applyFont="1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12" borderId="1" xfId="0" applyFill="1" applyBorder="1"/>
    <xf numFmtId="0" fontId="8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21" fillId="0" borderId="1" xfId="0" applyFont="1" applyFill="1" applyBorder="1"/>
    <xf numFmtId="0" fontId="0" fillId="0" borderId="0" xfId="0" applyFill="1"/>
    <xf numFmtId="0" fontId="0" fillId="0" borderId="0" xfId="0" applyAlignment="1">
      <alignment horizontal="left"/>
    </xf>
    <xf numFmtId="0" fontId="29" fillId="13" borderId="8" xfId="0" applyFont="1" applyFill="1" applyBorder="1" applyAlignment="1">
      <alignment horizontal="center" vertical="center" wrapText="1"/>
    </xf>
    <xf numFmtId="0" fontId="29" fillId="13" borderId="8" xfId="0" applyFont="1" applyFill="1" applyBorder="1" applyAlignment="1">
      <alignment horizontal="left" vertical="center" wrapText="1"/>
    </xf>
    <xf numFmtId="0" fontId="30" fillId="0" borderId="8" xfId="0" applyFont="1" applyFill="1" applyBorder="1"/>
    <xf numFmtId="0" fontId="30" fillId="0" borderId="8" xfId="0" applyFont="1" applyFill="1" applyBorder="1" applyAlignment="1">
      <alignment horizontal="left"/>
    </xf>
    <xf numFmtId="0" fontId="30" fillId="0" borderId="8" xfId="0" applyFont="1" applyFill="1" applyBorder="1" applyAlignment="1">
      <alignment horizontal="right"/>
    </xf>
    <xf numFmtId="0" fontId="30" fillId="0" borderId="8" xfId="0" applyFont="1" applyBorder="1"/>
    <xf numFmtId="0" fontId="30" fillId="0" borderId="8" xfId="0" applyFont="1" applyBorder="1" applyAlignment="1">
      <alignment horizontal="left"/>
    </xf>
    <xf numFmtId="0" fontId="31" fillId="0" borderId="8" xfId="0" applyFont="1" applyBorder="1"/>
    <xf numFmtId="0" fontId="30" fillId="0" borderId="8" xfId="0" applyFont="1" applyBorder="1" applyAlignment="1">
      <alignment horizontal="right"/>
    </xf>
    <xf numFmtId="0" fontId="29" fillId="0" borderId="8" xfId="0" applyFont="1" applyFill="1" applyBorder="1" applyAlignment="1">
      <alignment horizontal="center" vertical="center" wrapText="1"/>
    </xf>
    <xf numFmtId="0" fontId="29" fillId="0" borderId="8" xfId="0" applyFont="1" applyFill="1" applyBorder="1" applyAlignment="1">
      <alignment horizontal="left" vertical="center" wrapText="1"/>
    </xf>
    <xf numFmtId="0" fontId="29" fillId="14" borderId="8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32" fillId="0" borderId="8" xfId="0" applyFont="1" applyBorder="1"/>
    <xf numFmtId="0" fontId="30" fillId="0" borderId="8" xfId="0" applyFont="1" applyFill="1" applyBorder="1" applyAlignment="1">
      <alignment horizontal="center" vertical="center" wrapText="1"/>
    </xf>
    <xf numFmtId="0" fontId="33" fillId="0" borderId="0" xfId="0" applyFont="1"/>
    <xf numFmtId="0" fontId="33" fillId="0" borderId="1" xfId="0" applyFont="1" applyFill="1" applyBorder="1"/>
    <xf numFmtId="0" fontId="33" fillId="0" borderId="0" xfId="0" applyFont="1" applyFill="1" applyAlignment="1">
      <alignment horizontal="center"/>
    </xf>
    <xf numFmtId="0" fontId="33" fillId="0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21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Fill="1"/>
    <xf numFmtId="0" fontId="34" fillId="0" borderId="0" xfId="0" applyFont="1" applyFill="1"/>
    <xf numFmtId="0" fontId="34" fillId="0" borderId="0" xfId="0" applyFont="1"/>
    <xf numFmtId="0" fontId="34" fillId="0" borderId="0" xfId="0" applyFont="1" applyAlignment="1"/>
    <xf numFmtId="0" fontId="35" fillId="0" borderId="0" xfId="0" applyFont="1"/>
    <xf numFmtId="0" fontId="34" fillId="0" borderId="0" xfId="0" applyFont="1" applyAlignment="1">
      <alignment horizontal="center"/>
    </xf>
    <xf numFmtId="0" fontId="13" fillId="0" borderId="0" xfId="0" applyFont="1"/>
    <xf numFmtId="0" fontId="35" fillId="0" borderId="1" xfId="0" applyFont="1" applyBorder="1" applyAlignment="1">
      <alignment horizontal="center"/>
    </xf>
    <xf numFmtId="0" fontId="35" fillId="0" borderId="1" xfId="0" applyFont="1" applyFill="1" applyBorder="1"/>
    <xf numFmtId="0" fontId="34" fillId="0" borderId="1" xfId="0" applyFont="1" applyFill="1" applyBorder="1" applyAlignment="1">
      <alignment horizontal="center"/>
    </xf>
    <xf numFmtId="4" fontId="34" fillId="0" borderId="1" xfId="0" applyNumberFormat="1" applyFont="1" applyFill="1" applyBorder="1" applyAlignment="1"/>
    <xf numFmtId="176" fontId="34" fillId="0" borderId="1" xfId="1" applyFont="1" applyFill="1" applyBorder="1" applyAlignment="1"/>
    <xf numFmtId="0" fontId="34" fillId="0" borderId="1" xfId="0" applyFont="1" applyBorder="1" applyAlignment="1">
      <alignment horizontal="center"/>
    </xf>
    <xf numFmtId="0" fontId="35" fillId="0" borderId="1" xfId="0" applyFont="1" applyBorder="1"/>
    <xf numFmtId="4" fontId="34" fillId="0" borderId="1" xfId="0" applyNumberFormat="1" applyFont="1" applyBorder="1" applyAlignment="1"/>
    <xf numFmtId="0" fontId="36" fillId="0" borderId="1" xfId="0" applyFont="1" applyBorder="1"/>
    <xf numFmtId="0" fontId="36" fillId="0" borderId="1" xfId="0" applyFont="1" applyBorder="1" applyAlignment="1">
      <alignment horizontal="center"/>
    </xf>
    <xf numFmtId="176" fontId="37" fillId="0" borderId="1" xfId="1" applyFont="1" applyFill="1" applyBorder="1" applyAlignment="1">
      <alignment horizontal="right"/>
    </xf>
    <xf numFmtId="0" fontId="36" fillId="0" borderId="1" xfId="0" applyFont="1" applyFill="1" applyBorder="1"/>
    <xf numFmtId="0" fontId="36" fillId="0" borderId="1" xfId="0" applyFont="1" applyFill="1" applyBorder="1" applyAlignment="1">
      <alignment horizontal="center"/>
    </xf>
    <xf numFmtId="0" fontId="31" fillId="0" borderId="1" xfId="0" applyFont="1" applyFill="1" applyBorder="1"/>
    <xf numFmtId="0" fontId="31" fillId="0" borderId="1" xfId="0" applyFont="1" applyFill="1" applyBorder="1" applyAlignment="1">
      <alignment horizontal="center"/>
    </xf>
    <xf numFmtId="176" fontId="38" fillId="0" borderId="1" xfId="1" applyFont="1" applyFill="1" applyBorder="1" applyAlignment="1">
      <alignment horizontal="right"/>
    </xf>
    <xf numFmtId="0" fontId="13" fillId="0" borderId="0" xfId="0" applyFont="1" applyFill="1" applyBorder="1"/>
    <xf numFmtId="0" fontId="34" fillId="0" borderId="1" xfId="0" applyFont="1" applyFill="1" applyBorder="1"/>
    <xf numFmtId="0" fontId="34" fillId="0" borderId="2" xfId="0" applyFont="1" applyBorder="1"/>
    <xf numFmtId="0" fontId="34" fillId="0" borderId="9" xfId="0" applyFont="1" applyBorder="1" applyAlignment="1">
      <alignment horizontal="center"/>
    </xf>
    <xf numFmtId="4" fontId="34" fillId="0" borderId="1" xfId="0" applyNumberFormat="1" applyFont="1" applyBorder="1" applyAlignment="1">
      <alignment horizontal="center"/>
    </xf>
    <xf numFmtId="2" fontId="34" fillId="0" borderId="0" xfId="0" applyNumberFormat="1" applyFont="1"/>
    <xf numFmtId="0" fontId="39" fillId="0" borderId="1" xfId="6" applyFont="1" applyFill="1" applyBorder="1" applyAlignment="1">
      <alignment horizontal="center"/>
    </xf>
    <xf numFmtId="0" fontId="39" fillId="0" borderId="1" xfId="6" applyFont="1" applyBorder="1" applyAlignment="1">
      <alignment horizontal="center"/>
    </xf>
    <xf numFmtId="0" fontId="34" fillId="0" borderId="1" xfId="0" applyFont="1" applyBorder="1"/>
    <xf numFmtId="0" fontId="34" fillId="0" borderId="0" xfId="0" applyFont="1" applyBorder="1"/>
    <xf numFmtId="0" fontId="40" fillId="0" borderId="1" xfId="6" applyFont="1" applyFill="1" applyBorder="1" applyAlignment="1">
      <alignment horizontal="center"/>
    </xf>
    <xf numFmtId="0" fontId="34" fillId="0" borderId="0" xfId="0" applyFont="1" applyFill="1" applyBorder="1"/>
    <xf numFmtId="0" fontId="15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5" fillId="0" borderId="0" xfId="0" applyFont="1"/>
    <xf numFmtId="0" fontId="14" fillId="0" borderId="0" xfId="0" applyFont="1"/>
    <xf numFmtId="0" fontId="15" fillId="0" borderId="0" xfId="0" applyFont="1" applyFill="1" applyAlignment="1">
      <alignment horizontal="center"/>
    </xf>
    <xf numFmtId="0" fontId="15" fillId="0" borderId="1" xfId="0" applyFont="1" applyBorder="1" applyAlignment="1">
      <alignment horizontal="right"/>
    </xf>
    <xf numFmtId="0" fontId="15" fillId="16" borderId="1" xfId="0" applyFont="1" applyFill="1" applyBorder="1" applyAlignment="1">
      <alignment horizontal="left"/>
    </xf>
    <xf numFmtId="0" fontId="15" fillId="16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right"/>
    </xf>
    <xf numFmtId="0" fontId="10" fillId="17" borderId="1" xfId="0" applyFont="1" applyFill="1" applyBorder="1"/>
    <xf numFmtId="176" fontId="10" fillId="0" borderId="1" xfId="1" applyFont="1" applyFill="1" applyBorder="1" applyAlignment="1">
      <alignment horizontal="right"/>
    </xf>
    <xf numFmtId="4" fontId="10" fillId="0" borderId="1" xfId="0" applyNumberFormat="1" applyFont="1" applyBorder="1" applyAlignment="1">
      <alignment horizontal="right"/>
    </xf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176" fontId="15" fillId="2" borderId="1" xfId="1" applyFont="1" applyFill="1" applyBorder="1" applyAlignment="1">
      <alignment horizontal="right"/>
    </xf>
    <xf numFmtId="0" fontId="10" fillId="0" borderId="0" xfId="0" applyFont="1" applyBorder="1" applyAlignment="1">
      <alignment horizontal="center"/>
    </xf>
    <xf numFmtId="4" fontId="10" fillId="0" borderId="1" xfId="0" applyNumberFormat="1" applyFont="1" applyFill="1" applyBorder="1" applyAlignment="1">
      <alignment horizontal="right"/>
    </xf>
    <xf numFmtId="0" fontId="15" fillId="3" borderId="1" xfId="0" applyFont="1" applyFill="1" applyBorder="1"/>
    <xf numFmtId="0" fontId="15" fillId="3" borderId="1" xfId="0" applyFont="1" applyFill="1" applyBorder="1" applyAlignment="1">
      <alignment horizontal="center"/>
    </xf>
    <xf numFmtId="4" fontId="15" fillId="3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0" fontId="10" fillId="4" borderId="1" xfId="0" applyFont="1" applyFill="1" applyBorder="1" applyAlignment="1">
      <alignment horizontal="center"/>
    </xf>
    <xf numFmtId="4" fontId="10" fillId="4" borderId="1" xfId="0" applyNumberFormat="1" applyFont="1" applyFill="1" applyBorder="1" applyAlignment="1">
      <alignment horizontal="right"/>
    </xf>
    <xf numFmtId="0" fontId="41" fillId="0" borderId="1" xfId="0" applyFont="1" applyFill="1" applyBorder="1"/>
    <xf numFmtId="0" fontId="41" fillId="0" borderId="1" xfId="0" applyFont="1" applyFill="1" applyBorder="1" applyAlignment="1">
      <alignment horizontal="center"/>
    </xf>
    <xf numFmtId="4" fontId="41" fillId="0" borderId="1" xfId="0" applyNumberFormat="1" applyFont="1" applyFill="1" applyBorder="1" applyAlignment="1">
      <alignment horizontal="right"/>
    </xf>
    <xf numFmtId="176" fontId="41" fillId="0" borderId="1" xfId="1" applyFont="1" applyFill="1" applyBorder="1" applyAlignment="1">
      <alignment horizontal="right"/>
    </xf>
    <xf numFmtId="176" fontId="41" fillId="0" borderId="1" xfId="0" applyNumberFormat="1" applyFont="1" applyFill="1" applyBorder="1" applyAlignment="1">
      <alignment horizontal="right"/>
    </xf>
    <xf numFmtId="0" fontId="41" fillId="0" borderId="1" xfId="0" applyFont="1" applyFill="1" applyBorder="1" applyAlignment="1">
      <alignment horizontal="right"/>
    </xf>
    <xf numFmtId="0" fontId="10" fillId="0" borderId="1" xfId="0" applyFont="1" applyFill="1" applyBorder="1" applyAlignment="1">
      <alignment horizontal="right"/>
    </xf>
    <xf numFmtId="0" fontId="42" fillId="0" borderId="1" xfId="6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42" fillId="0" borderId="1" xfId="6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4" borderId="1" xfId="0" applyFont="1" applyFill="1" applyBorder="1"/>
    <xf numFmtId="0" fontId="43" fillId="4" borderId="1" xfId="0" applyFont="1" applyFill="1" applyBorder="1" applyAlignment="1">
      <alignment horizontal="center"/>
    </xf>
    <xf numFmtId="0" fontId="41" fillId="17" borderId="1" xfId="0" applyFont="1" applyFill="1" applyBorder="1" applyAlignment="1">
      <alignment horizontal="center"/>
    </xf>
    <xf numFmtId="0" fontId="10" fillId="0" borderId="1" xfId="0" applyFont="1" applyBorder="1" applyAlignment="1" quotePrefix="1">
      <alignment horizontal="center"/>
    </xf>
    <xf numFmtId="0" fontId="10" fillId="0" borderId="1" xfId="0" applyFont="1" applyFill="1" applyBorder="1" applyAlignment="1" quotePrefix="1">
      <alignment horizontal="center"/>
    </xf>
    <xf numFmtId="0" fontId="41" fillId="0" borderId="1" xfId="0" applyFont="1" applyFill="1" applyBorder="1" applyAlignment="1" quotePrefix="1">
      <alignment horizontal="center"/>
    </xf>
    <xf numFmtId="0" fontId="34" fillId="0" borderId="1" xfId="0" applyFont="1" applyFill="1" applyBorder="1" applyAlignment="1" quotePrefix="1">
      <alignment horizontal="center"/>
    </xf>
    <xf numFmtId="0" fontId="34" fillId="0" borderId="1" xfId="0" applyFont="1" applyBorder="1" applyAlignment="1" quotePrefix="1">
      <alignment horizontal="center"/>
    </xf>
    <xf numFmtId="0" fontId="36" fillId="0" borderId="1" xfId="0" applyFont="1" applyBorder="1" applyAlignment="1" quotePrefix="1">
      <alignment horizontal="center"/>
    </xf>
    <xf numFmtId="0" fontId="36" fillId="0" borderId="1" xfId="0" applyFont="1" applyFill="1" applyBorder="1" applyAlignment="1" quotePrefix="1">
      <alignment horizontal="center"/>
    </xf>
    <xf numFmtId="0" fontId="31" fillId="0" borderId="1" xfId="0" applyFont="1" applyFill="1" applyBorder="1" applyAlignment="1" quotePrefix="1">
      <alignment horizontal="center"/>
    </xf>
    <xf numFmtId="0" fontId="0" fillId="0" borderId="1" xfId="0" applyBorder="1" applyAlignment="1" quotePrefix="1">
      <alignment horizontal="center"/>
    </xf>
    <xf numFmtId="0" fontId="0" fillId="0" borderId="1" xfId="0" applyFill="1" applyBorder="1" applyAlignment="1" quotePrefix="1">
      <alignment horizontal="center"/>
    </xf>
    <xf numFmtId="0" fontId="33" fillId="0" borderId="1" xfId="0" applyFont="1" applyBorder="1" applyAlignment="1" quotePrefix="1">
      <alignment horizontal="center"/>
    </xf>
    <xf numFmtId="0" fontId="0" fillId="12" borderId="1" xfId="0" applyFill="1" applyBorder="1" applyAlignment="1" quotePrefix="1">
      <alignment horizontal="center"/>
    </xf>
    <xf numFmtId="0" fontId="8" fillId="0" borderId="1" xfId="0" applyFont="1" applyBorder="1" applyAlignment="1" quotePrefix="1">
      <alignment horizontal="center"/>
    </xf>
    <xf numFmtId="0" fontId="0" fillId="0" borderId="0" xfId="0" applyAlignment="1" quotePrefix="1">
      <alignment horizontal="center"/>
    </xf>
    <xf numFmtId="0" fontId="8" fillId="0" borderId="0" xfId="0" applyFont="1" applyAlignment="1" quotePrefix="1">
      <alignment horizontal="center"/>
    </xf>
    <xf numFmtId="0" fontId="8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HFIN02\Desktop\payroll%20edited_0315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LTAPLUS 1ST"/>
      <sheetName val="PS R&amp;F"/>
      <sheetName val="DELTAPLUS 2ND"/>
      <sheetName val="PS R&amp;F (2)"/>
      <sheetName val="Sheet1"/>
    </sheetNames>
    <sheetDataSet>
      <sheetData sheetId="0" refreshError="1">
        <row r="31">
          <cell r="G31">
            <v>19572</v>
          </cell>
        </row>
        <row r="34">
          <cell r="G34">
            <v>20097</v>
          </cell>
        </row>
        <row r="35">
          <cell r="G35">
            <v>19572</v>
          </cell>
        </row>
      </sheetData>
      <sheetData sheetId="1" refreshError="1"/>
      <sheetData sheetId="2" refreshError="1">
        <row r="30">
          <cell r="G30">
            <v>29757</v>
          </cell>
        </row>
        <row r="39">
          <cell r="G39">
            <v>21013.44</v>
          </cell>
        </row>
        <row r="40">
          <cell r="G40">
            <v>21013.44</v>
          </cell>
        </row>
        <row r="41">
          <cell r="G41">
            <v>21077.28</v>
          </cell>
        </row>
        <row r="42">
          <cell r="G42">
            <v>18522</v>
          </cell>
        </row>
        <row r="44">
          <cell r="G44">
            <v>18522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jhongmarcos22@gmail.com" TargetMode="External"/><Relationship Id="rId8" Type="http://schemas.openxmlformats.org/officeDocument/2006/relationships/hyperlink" Target="mailto:Jballena22@gmail.com" TargetMode="External"/><Relationship Id="rId7" Type="http://schemas.openxmlformats.org/officeDocument/2006/relationships/hyperlink" Target="mailto:violatorey@gmail.com" TargetMode="External"/><Relationship Id="rId6" Type="http://schemas.openxmlformats.org/officeDocument/2006/relationships/hyperlink" Target="mailto:markading@gmail.com" TargetMode="External"/><Relationship Id="rId5" Type="http://schemas.openxmlformats.org/officeDocument/2006/relationships/hyperlink" Target="mailto:kennett.temones@yahoo.com" TargetMode="External"/><Relationship Id="rId4" Type="http://schemas.openxmlformats.org/officeDocument/2006/relationships/hyperlink" Target="mailto:ronelabado@gmail.com" TargetMode="External"/><Relationship Id="rId3" Type="http://schemas.openxmlformats.org/officeDocument/2006/relationships/hyperlink" Target="mailto:bong.ballena@deltaplus.ph" TargetMode="External"/><Relationship Id="rId2" Type="http://schemas.openxmlformats.org/officeDocument/2006/relationships/hyperlink" Target="mailto:leah.evangelista@deltaplus.ph" TargetMode="External"/><Relationship Id="rId19" Type="http://schemas.openxmlformats.org/officeDocument/2006/relationships/hyperlink" Target="mailto:felicisimo.borromeo@deltaplus.ph" TargetMode="External"/><Relationship Id="rId18" Type="http://schemas.openxmlformats.org/officeDocument/2006/relationships/hyperlink" Target="mailto:arvindiocena00@gmail.com" TargetMode="External"/><Relationship Id="rId17" Type="http://schemas.openxmlformats.org/officeDocument/2006/relationships/hyperlink" Target="mailto:francis.magallanes@deltaplus.ph" TargetMode="External"/><Relationship Id="rId16" Type="http://schemas.openxmlformats.org/officeDocument/2006/relationships/hyperlink" Target="mailto:donaldnavida96@gmail.com" TargetMode="External"/><Relationship Id="rId15" Type="http://schemas.openxmlformats.org/officeDocument/2006/relationships/hyperlink" Target="mailto:lozadaryan762@gmail.com" TargetMode="External"/><Relationship Id="rId14" Type="http://schemas.openxmlformats.org/officeDocument/2006/relationships/hyperlink" Target="mailto:reynoldhilario44@gmail.com" TargetMode="External"/><Relationship Id="rId13" Type="http://schemas.openxmlformats.org/officeDocument/2006/relationships/hyperlink" Target="mailto:niczyinterino@gmail.com" TargetMode="External"/><Relationship Id="rId12" Type="http://schemas.openxmlformats.org/officeDocument/2006/relationships/hyperlink" Target="mailto:mj.canatoy@deltaplus.ph" TargetMode="External"/><Relationship Id="rId11" Type="http://schemas.openxmlformats.org/officeDocument/2006/relationships/hyperlink" Target="mailto:ramelgenova1974@gmail.com" TargetMode="External"/><Relationship Id="rId10" Type="http://schemas.openxmlformats.org/officeDocument/2006/relationships/hyperlink" Target="mailto:sarzgwapo@gmail.com" TargetMode="External"/><Relationship Id="rId1" Type="http://schemas.openxmlformats.org/officeDocument/2006/relationships/hyperlink" Target="mailto:evangeline.ceniza@deltaplus.ph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nickah.abilar@deltaplus.ph" TargetMode="External"/><Relationship Id="rId8" Type="http://schemas.openxmlformats.org/officeDocument/2006/relationships/hyperlink" Target="mailto:karla.aydalla@deltaplus.ph" TargetMode="External"/><Relationship Id="rId7" Type="http://schemas.openxmlformats.org/officeDocument/2006/relationships/hyperlink" Target="mailto:arlene.lagas@deltaplus.ph" TargetMode="External"/><Relationship Id="rId6" Type="http://schemas.openxmlformats.org/officeDocument/2006/relationships/hyperlink" Target="mailto:francis.echague@deltaplus.ph" TargetMode="External"/><Relationship Id="rId5" Type="http://schemas.openxmlformats.org/officeDocument/2006/relationships/hyperlink" Target="mailto:jeff.gatchalian@deltaplus.ph" TargetMode="External"/><Relationship Id="rId4" Type="http://schemas.openxmlformats.org/officeDocument/2006/relationships/hyperlink" Target="mailto:harold.masilungan@deltaplus.ph" TargetMode="External"/><Relationship Id="rId3" Type="http://schemas.openxmlformats.org/officeDocument/2006/relationships/hyperlink" Target="mailto:lex.carretas@deltaplus.ph" TargetMode="External"/><Relationship Id="rId2" Type="http://schemas.openxmlformats.org/officeDocument/2006/relationships/hyperlink" Target="mailto:christine.asistio@deltaplus.ph" TargetMode="External"/><Relationship Id="rId11" Type="http://schemas.openxmlformats.org/officeDocument/2006/relationships/hyperlink" Target="mailto:michael.delrosario@deltaplus.ph" TargetMode="External"/><Relationship Id="rId10" Type="http://schemas.openxmlformats.org/officeDocument/2006/relationships/hyperlink" Target="mailto:mariel.geres@deltaplus.ph" TargetMode="External"/><Relationship Id="rId1" Type="http://schemas.openxmlformats.org/officeDocument/2006/relationships/hyperlink" Target="mailto:conreyian.vallejos@deltaplus.ph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view="pageBreakPreview" zoomScale="74" zoomScaleNormal="62" workbookViewId="0">
      <selection activeCell="D1" sqref="D1"/>
    </sheetView>
  </sheetViews>
  <sheetFormatPr defaultColWidth="9.17592592592593" defaultRowHeight="13.8"/>
  <cols>
    <col min="1" max="1" width="5.36111111111111" style="88" customWidth="1"/>
    <col min="2" max="2" width="39.1759259259259" style="222" customWidth="1"/>
    <col min="3" max="3" width="30.7222222222222" style="223" customWidth="1"/>
    <col min="4" max="4" width="25.5462962962963" style="223" customWidth="1"/>
    <col min="5" max="5" width="17.3611111111111" style="222" customWidth="1"/>
    <col min="6" max="6" width="24.1759259259259" style="222" customWidth="1"/>
    <col min="7" max="7" width="24.5462962962963" style="222" customWidth="1"/>
    <col min="8" max="8" width="19" style="224" customWidth="1"/>
    <col min="9" max="9" width="15.2685185185185" style="222" customWidth="1"/>
    <col min="10" max="10" width="16.1759259259259" style="223" customWidth="1"/>
    <col min="11" max="11" width="16.0925925925926" style="223" customWidth="1"/>
    <col min="12" max="12" width="20.4537037037037" style="223" customWidth="1"/>
    <col min="13" max="13" width="22.5462962962963" style="223" customWidth="1"/>
    <col min="14" max="14" width="41.1759259259259" style="223" customWidth="1"/>
    <col min="15" max="15" width="88" style="222" customWidth="1"/>
    <col min="16" max="16384" width="9.17592592592593" style="222"/>
  </cols>
  <sheetData>
    <row r="1" spans="2:2">
      <c r="B1" s="225" t="s">
        <v>0</v>
      </c>
    </row>
    <row r="2" spans="2:2">
      <c r="B2" s="226" t="s">
        <v>1</v>
      </c>
    </row>
    <row r="3" s="221" customFormat="1" spans="1:15">
      <c r="A3" s="227"/>
      <c r="B3" s="159" t="s">
        <v>2</v>
      </c>
      <c r="C3" s="159" t="s">
        <v>3</v>
      </c>
      <c r="D3" s="159" t="s">
        <v>4</v>
      </c>
      <c r="E3" s="159" t="s">
        <v>5</v>
      </c>
      <c r="F3" s="159" t="s">
        <v>6</v>
      </c>
      <c r="G3" s="159" t="s">
        <v>7</v>
      </c>
      <c r="H3" s="228" t="s">
        <v>8</v>
      </c>
      <c r="I3" s="159" t="s">
        <v>9</v>
      </c>
      <c r="J3" s="159" t="s">
        <v>10</v>
      </c>
      <c r="K3" s="159" t="s">
        <v>11</v>
      </c>
      <c r="L3" s="159" t="s">
        <v>12</v>
      </c>
      <c r="M3" s="159" t="s">
        <v>13</v>
      </c>
      <c r="N3" s="159" t="s">
        <v>14</v>
      </c>
      <c r="O3" s="159" t="s">
        <v>15</v>
      </c>
    </row>
    <row r="4" s="221" customFormat="1" spans="1:15">
      <c r="A4" s="227"/>
      <c r="B4" s="229" t="s">
        <v>16</v>
      </c>
      <c r="C4" s="230"/>
      <c r="D4" s="230"/>
      <c r="E4" s="230"/>
      <c r="F4" s="230"/>
      <c r="G4" s="230"/>
      <c r="H4" s="231"/>
      <c r="I4" s="230"/>
      <c r="J4" s="230"/>
      <c r="K4" s="230"/>
      <c r="L4" s="230"/>
      <c r="M4" s="230"/>
      <c r="N4" s="230"/>
      <c r="O4" s="230"/>
    </row>
    <row r="5" spans="1:15">
      <c r="A5" s="88">
        <v>1</v>
      </c>
      <c r="B5" s="232" t="s">
        <v>17</v>
      </c>
      <c r="C5" s="101" t="s">
        <v>18</v>
      </c>
      <c r="D5" s="101" t="s">
        <v>19</v>
      </c>
      <c r="E5" s="101" t="s">
        <v>20</v>
      </c>
      <c r="F5" s="101" t="s">
        <v>21</v>
      </c>
      <c r="G5" s="101" t="s">
        <v>22</v>
      </c>
      <c r="H5" s="233">
        <v>241308.4</v>
      </c>
      <c r="I5" s="262" t="s">
        <v>23</v>
      </c>
      <c r="J5" s="262" t="s">
        <v>24</v>
      </c>
      <c r="K5" s="262" t="s">
        <v>25</v>
      </c>
      <c r="L5" s="263" t="s">
        <v>26</v>
      </c>
      <c r="M5" s="262" t="s">
        <v>27</v>
      </c>
      <c r="N5" s="253" t="s">
        <v>28</v>
      </c>
      <c r="O5" s="92" t="s">
        <v>29</v>
      </c>
    </row>
    <row r="6" spans="1:15">
      <c r="A6" s="88">
        <v>2</v>
      </c>
      <c r="B6" s="100" t="s">
        <v>30</v>
      </c>
      <c r="C6" s="101" t="s">
        <v>31</v>
      </c>
      <c r="D6" s="101" t="s">
        <v>32</v>
      </c>
      <c r="E6" s="101" t="s">
        <v>33</v>
      </c>
      <c r="F6" s="103" t="s">
        <v>34</v>
      </c>
      <c r="G6" s="103" t="s">
        <v>22</v>
      </c>
      <c r="H6" s="234">
        <v>25000</v>
      </c>
      <c r="I6" s="262" t="s">
        <v>35</v>
      </c>
      <c r="J6" s="262" t="s">
        <v>36</v>
      </c>
      <c r="K6" s="262" t="s">
        <v>37</v>
      </c>
      <c r="L6" s="262" t="s">
        <v>38</v>
      </c>
      <c r="M6" s="262" t="s">
        <v>39</v>
      </c>
      <c r="N6" s="253" t="s">
        <v>40</v>
      </c>
      <c r="O6" s="100" t="s">
        <v>41</v>
      </c>
    </row>
    <row r="7" spans="1:15">
      <c r="A7" s="88">
        <v>3</v>
      </c>
      <c r="B7" s="100" t="s">
        <v>42</v>
      </c>
      <c r="C7" s="101" t="s">
        <v>43</v>
      </c>
      <c r="D7" s="101" t="s">
        <v>44</v>
      </c>
      <c r="E7" s="101" t="s">
        <v>45</v>
      </c>
      <c r="F7" s="101" t="s">
        <v>46</v>
      </c>
      <c r="G7" s="101" t="s">
        <v>22</v>
      </c>
      <c r="H7" s="234">
        <v>18354</v>
      </c>
      <c r="I7" s="262" t="s">
        <v>47</v>
      </c>
      <c r="J7" s="262" t="s">
        <v>48</v>
      </c>
      <c r="K7" s="262" t="s">
        <v>49</v>
      </c>
      <c r="L7" s="105"/>
      <c r="M7" s="262" t="s">
        <v>50</v>
      </c>
      <c r="N7" s="253" t="s">
        <v>51</v>
      </c>
      <c r="O7" s="100" t="s">
        <v>52</v>
      </c>
    </row>
    <row r="8" spans="1:15">
      <c r="A8" s="88">
        <v>4</v>
      </c>
      <c r="B8" s="100" t="s">
        <v>53</v>
      </c>
      <c r="C8" s="101" t="s">
        <v>54</v>
      </c>
      <c r="D8" s="101" t="s">
        <v>44</v>
      </c>
      <c r="E8" s="101" t="s">
        <v>55</v>
      </c>
      <c r="F8" s="101" t="s">
        <v>56</v>
      </c>
      <c r="G8" s="101" t="s">
        <v>22</v>
      </c>
      <c r="H8" s="234">
        <v>18354</v>
      </c>
      <c r="I8" s="262" t="s">
        <v>57</v>
      </c>
      <c r="J8" s="262" t="s">
        <v>58</v>
      </c>
      <c r="K8" s="262" t="s">
        <v>59</v>
      </c>
      <c r="L8" s="262" t="s">
        <v>60</v>
      </c>
      <c r="M8" s="262" t="s">
        <v>61</v>
      </c>
      <c r="N8" s="253" t="s">
        <v>62</v>
      </c>
      <c r="O8" s="92" t="s">
        <v>63</v>
      </c>
    </row>
    <row r="9" spans="2:15">
      <c r="B9" s="235" t="s">
        <v>64</v>
      </c>
      <c r="C9" s="236"/>
      <c r="D9" s="236"/>
      <c r="E9" s="236"/>
      <c r="F9" s="236"/>
      <c r="G9" s="236"/>
      <c r="H9" s="237"/>
      <c r="I9" s="235"/>
      <c r="J9" s="236"/>
      <c r="K9" s="236"/>
      <c r="L9" s="236"/>
      <c r="M9" s="254"/>
      <c r="N9" s="254"/>
      <c r="O9" s="255"/>
    </row>
    <row r="10" spans="1:15">
      <c r="A10" s="88">
        <v>5</v>
      </c>
      <c r="B10" s="232" t="s">
        <v>65</v>
      </c>
      <c r="C10" s="101" t="s">
        <v>66</v>
      </c>
      <c r="D10" s="101" t="s">
        <v>32</v>
      </c>
      <c r="E10" s="101" t="s">
        <v>67</v>
      </c>
      <c r="F10" s="103" t="s">
        <v>68</v>
      </c>
      <c r="G10" s="103" t="s">
        <v>22</v>
      </c>
      <c r="H10" s="234">
        <v>60000</v>
      </c>
      <c r="I10" s="262" t="s">
        <v>69</v>
      </c>
      <c r="J10" s="101">
        <v>30503520911</v>
      </c>
      <c r="K10" s="262" t="s">
        <v>70</v>
      </c>
      <c r="L10" s="262" t="s">
        <v>71</v>
      </c>
      <c r="M10" s="262" t="s">
        <v>72</v>
      </c>
      <c r="N10" s="253"/>
      <c r="O10" s="100" t="s">
        <v>73</v>
      </c>
    </row>
    <row r="11" spans="1:15">
      <c r="A11" s="88">
        <v>6</v>
      </c>
      <c r="B11" s="100" t="s">
        <v>74</v>
      </c>
      <c r="C11" s="101" t="s">
        <v>75</v>
      </c>
      <c r="D11" s="238" t="s">
        <v>32</v>
      </c>
      <c r="E11" s="103" t="s">
        <v>76</v>
      </c>
      <c r="F11" s="103" t="s">
        <v>77</v>
      </c>
      <c r="G11" s="103" t="s">
        <v>78</v>
      </c>
      <c r="H11" s="234">
        <v>32000</v>
      </c>
      <c r="I11" s="103"/>
      <c r="J11" s="103"/>
      <c r="K11" s="103"/>
      <c r="L11" s="103"/>
      <c r="M11" s="103"/>
      <c r="N11" s="256"/>
      <c r="O11" s="92"/>
    </row>
    <row r="12" spans="1:15">
      <c r="A12" s="88">
        <v>7</v>
      </c>
      <c r="B12" s="100" t="s">
        <v>79</v>
      </c>
      <c r="C12" s="101" t="s">
        <v>80</v>
      </c>
      <c r="D12" s="238" t="s">
        <v>32</v>
      </c>
      <c r="E12" s="103" t="s">
        <v>81</v>
      </c>
      <c r="F12" s="103" t="s">
        <v>82</v>
      </c>
      <c r="G12" s="103" t="s">
        <v>78</v>
      </c>
      <c r="H12" s="234">
        <v>23000</v>
      </c>
      <c r="I12" s="103"/>
      <c r="J12" s="103"/>
      <c r="K12" s="103"/>
      <c r="L12" s="103"/>
      <c r="M12" s="103"/>
      <c r="N12" s="256"/>
      <c r="O12" s="92"/>
    </row>
    <row r="13" s="88" customFormat="1" spans="1:15">
      <c r="A13" s="88">
        <v>8</v>
      </c>
      <c r="B13" s="92" t="s">
        <v>83</v>
      </c>
      <c r="C13" s="103" t="s">
        <v>84</v>
      </c>
      <c r="D13" s="103" t="s">
        <v>32</v>
      </c>
      <c r="E13" s="103" t="s">
        <v>85</v>
      </c>
      <c r="F13" s="103" t="s">
        <v>86</v>
      </c>
      <c r="G13" s="103" t="s">
        <v>78</v>
      </c>
      <c r="H13" s="239">
        <v>19000</v>
      </c>
      <c r="I13" s="263" t="s">
        <v>87</v>
      </c>
      <c r="J13" s="263" t="s">
        <v>88</v>
      </c>
      <c r="K13" s="263" t="s">
        <v>89</v>
      </c>
      <c r="L13" s="103"/>
      <c r="M13" s="263" t="s">
        <v>90</v>
      </c>
      <c r="N13" s="256" t="s">
        <v>91</v>
      </c>
      <c r="O13" s="92" t="s">
        <v>92</v>
      </c>
    </row>
    <row r="14" spans="2:15">
      <c r="B14" s="240" t="s">
        <v>93</v>
      </c>
      <c r="C14" s="241"/>
      <c r="D14" s="241"/>
      <c r="E14" s="241"/>
      <c r="F14" s="241"/>
      <c r="G14" s="241"/>
      <c r="H14" s="242"/>
      <c r="I14" s="240"/>
      <c r="J14" s="241"/>
      <c r="K14" s="241"/>
      <c r="L14" s="241"/>
      <c r="M14" s="257"/>
      <c r="N14" s="257"/>
      <c r="O14" s="258"/>
    </row>
    <row r="15" spans="1:15">
      <c r="A15" s="88">
        <v>9</v>
      </c>
      <c r="B15" s="232" t="s">
        <v>94</v>
      </c>
      <c r="C15" s="101" t="s">
        <v>95</v>
      </c>
      <c r="D15" s="101" t="s">
        <v>19</v>
      </c>
      <c r="E15" s="101" t="s">
        <v>96</v>
      </c>
      <c r="F15" s="101" t="s">
        <v>97</v>
      </c>
      <c r="G15" s="101" t="s">
        <v>22</v>
      </c>
      <c r="H15" s="233">
        <v>47656.96</v>
      </c>
      <c r="I15" s="262" t="s">
        <v>98</v>
      </c>
      <c r="J15" s="262" t="s">
        <v>99</v>
      </c>
      <c r="K15" s="262" t="s">
        <v>100</v>
      </c>
      <c r="L15" s="263" t="s">
        <v>101</v>
      </c>
      <c r="M15" s="263" t="s">
        <v>102</v>
      </c>
      <c r="N15" s="256" t="s">
        <v>103</v>
      </c>
      <c r="O15" s="92" t="s">
        <v>104</v>
      </c>
    </row>
    <row r="16" s="88" customFormat="1" spans="1:15">
      <c r="A16" s="88">
        <v>10</v>
      </c>
      <c r="B16" s="92" t="s">
        <v>105</v>
      </c>
      <c r="C16" s="103" t="s">
        <v>106</v>
      </c>
      <c r="D16" s="103" t="s">
        <v>32</v>
      </c>
      <c r="E16" s="103" t="s">
        <v>107</v>
      </c>
      <c r="F16" s="103" t="s">
        <v>108</v>
      </c>
      <c r="G16" s="103" t="s">
        <v>109</v>
      </c>
      <c r="H16" s="233">
        <v>35000</v>
      </c>
      <c r="I16" s="263" t="s">
        <v>110</v>
      </c>
      <c r="J16" s="263" t="s">
        <v>111</v>
      </c>
      <c r="K16" s="263" t="s">
        <v>112</v>
      </c>
      <c r="L16" s="103" t="s">
        <v>113</v>
      </c>
      <c r="M16" s="103"/>
      <c r="N16" s="256"/>
      <c r="O16" s="92" t="s">
        <v>114</v>
      </c>
    </row>
    <row r="17" s="88" customFormat="1" spans="1:15">
      <c r="A17" s="88">
        <v>11</v>
      </c>
      <c r="B17" s="92" t="s">
        <v>115</v>
      </c>
      <c r="C17" s="103" t="s">
        <v>116</v>
      </c>
      <c r="D17" s="103" t="s">
        <v>32</v>
      </c>
      <c r="E17" s="103" t="s">
        <v>81</v>
      </c>
      <c r="F17" s="103"/>
      <c r="G17" s="103"/>
      <c r="H17" s="233"/>
      <c r="I17" s="103"/>
      <c r="J17" s="103"/>
      <c r="K17" s="103"/>
      <c r="L17" s="103"/>
      <c r="M17" s="103"/>
      <c r="N17" s="256"/>
      <c r="O17" s="92"/>
    </row>
    <row r="18" s="88" customFormat="1" spans="1:15">
      <c r="A18" s="88">
        <v>12</v>
      </c>
      <c r="B18" s="92" t="s">
        <v>117</v>
      </c>
      <c r="C18" s="103" t="s">
        <v>118</v>
      </c>
      <c r="D18" s="103" t="s">
        <v>119</v>
      </c>
      <c r="E18" s="103" t="s">
        <v>120</v>
      </c>
      <c r="F18" s="103" t="s">
        <v>121</v>
      </c>
      <c r="G18" s="103" t="s">
        <v>22</v>
      </c>
      <c r="H18" s="233">
        <v>16770</v>
      </c>
      <c r="I18" s="103" t="s">
        <v>122</v>
      </c>
      <c r="J18" s="263" t="s">
        <v>123</v>
      </c>
      <c r="K18" s="263" t="s">
        <v>124</v>
      </c>
      <c r="L18" s="263" t="s">
        <v>125</v>
      </c>
      <c r="M18" s="263" t="s">
        <v>126</v>
      </c>
      <c r="N18" s="256" t="s">
        <v>127</v>
      </c>
      <c r="O18" s="92" t="s">
        <v>128</v>
      </c>
    </row>
    <row r="19" s="88" customFormat="1" spans="1:15">
      <c r="A19" s="88">
        <v>13</v>
      </c>
      <c r="B19" s="92" t="s">
        <v>129</v>
      </c>
      <c r="C19" s="103" t="s">
        <v>130</v>
      </c>
      <c r="D19" s="103" t="s">
        <v>32</v>
      </c>
      <c r="E19" s="103" t="s">
        <v>131</v>
      </c>
      <c r="F19" s="103" t="s">
        <v>132</v>
      </c>
      <c r="G19" s="103" t="s">
        <v>22</v>
      </c>
      <c r="H19" s="233">
        <v>25000</v>
      </c>
      <c r="I19" s="263" t="s">
        <v>133</v>
      </c>
      <c r="J19" s="263" t="s">
        <v>134</v>
      </c>
      <c r="K19" s="263" t="s">
        <v>135</v>
      </c>
      <c r="L19" s="263" t="s">
        <v>136</v>
      </c>
      <c r="M19" s="263" t="s">
        <v>137</v>
      </c>
      <c r="N19" s="256"/>
      <c r="O19" s="92" t="s">
        <v>138</v>
      </c>
    </row>
    <row r="20" s="88" customFormat="1" spans="1:15">
      <c r="A20" s="88">
        <v>14</v>
      </c>
      <c r="B20" s="92" t="s">
        <v>139</v>
      </c>
      <c r="C20" s="103" t="s">
        <v>140</v>
      </c>
      <c r="D20" s="103" t="s">
        <v>32</v>
      </c>
      <c r="E20" s="103" t="s">
        <v>141</v>
      </c>
      <c r="F20" s="103"/>
      <c r="G20" s="103"/>
      <c r="H20" s="233"/>
      <c r="I20" s="103"/>
      <c r="J20" s="103"/>
      <c r="K20" s="103"/>
      <c r="L20" s="103"/>
      <c r="M20" s="103"/>
      <c r="N20" s="256"/>
      <c r="O20" s="92"/>
    </row>
    <row r="21" s="88" customFormat="1" spans="1:15">
      <c r="A21" s="88">
        <v>15</v>
      </c>
      <c r="B21" s="92" t="s">
        <v>142</v>
      </c>
      <c r="C21" s="103" t="s">
        <v>143</v>
      </c>
      <c r="D21" s="103" t="s">
        <v>32</v>
      </c>
      <c r="E21" s="103" t="s">
        <v>144</v>
      </c>
      <c r="F21" s="103"/>
      <c r="G21" s="103"/>
      <c r="H21" s="233"/>
      <c r="I21" s="103"/>
      <c r="J21" s="103"/>
      <c r="K21" s="103"/>
      <c r="L21" s="103"/>
      <c r="M21" s="103"/>
      <c r="N21" s="256"/>
      <c r="O21" s="92"/>
    </row>
    <row r="22" spans="2:15">
      <c r="B22" s="243" t="s">
        <v>145</v>
      </c>
      <c r="C22" s="244"/>
      <c r="D22" s="244"/>
      <c r="E22" s="244"/>
      <c r="F22" s="244"/>
      <c r="G22" s="244"/>
      <c r="H22" s="245"/>
      <c r="I22" s="259"/>
      <c r="J22" s="244"/>
      <c r="K22" s="244"/>
      <c r="L22" s="244"/>
      <c r="M22" s="260"/>
      <c r="N22" s="260"/>
      <c r="O22" s="259"/>
    </row>
    <row r="23" spans="1:15">
      <c r="A23" s="88">
        <v>16</v>
      </c>
      <c r="B23" s="246" t="s">
        <v>146</v>
      </c>
      <c r="C23" s="247" t="s">
        <v>147</v>
      </c>
      <c r="D23" s="247" t="s">
        <v>44</v>
      </c>
      <c r="E23" s="247" t="s">
        <v>148</v>
      </c>
      <c r="F23" s="247" t="s">
        <v>149</v>
      </c>
      <c r="G23" s="247" t="s">
        <v>22</v>
      </c>
      <c r="H23" s="248">
        <f>'[1]DELTAPLUS 2ND'!$G$41</f>
        <v>21077.28</v>
      </c>
      <c r="I23" s="264" t="s">
        <v>150</v>
      </c>
      <c r="J23" s="264" t="s">
        <v>151</v>
      </c>
      <c r="K23" s="264" t="s">
        <v>152</v>
      </c>
      <c r="L23" s="264" t="s">
        <v>153</v>
      </c>
      <c r="M23" s="263" t="s">
        <v>154</v>
      </c>
      <c r="N23" s="256" t="s">
        <v>155</v>
      </c>
      <c r="O23" s="92" t="s">
        <v>156</v>
      </c>
    </row>
    <row r="24" spans="1:15">
      <c r="A24" s="88">
        <v>17</v>
      </c>
      <c r="B24" s="246" t="s">
        <v>157</v>
      </c>
      <c r="C24" s="247" t="s">
        <v>158</v>
      </c>
      <c r="D24" s="247" t="s">
        <v>159</v>
      </c>
      <c r="E24" s="247" t="s">
        <v>160</v>
      </c>
      <c r="F24" s="247" t="s">
        <v>161</v>
      </c>
      <c r="G24" s="247" t="s">
        <v>22</v>
      </c>
      <c r="H24" s="248">
        <v>17640</v>
      </c>
      <c r="I24" s="247">
        <v>423058956</v>
      </c>
      <c r="J24" s="264" t="s">
        <v>162</v>
      </c>
      <c r="K24" s="264" t="s">
        <v>163</v>
      </c>
      <c r="L24" s="264" t="s">
        <v>164</v>
      </c>
      <c r="M24" s="263" t="s">
        <v>165</v>
      </c>
      <c r="N24" s="103"/>
      <c r="O24" s="92" t="s">
        <v>166</v>
      </c>
    </row>
    <row r="25" spans="1:15">
      <c r="A25" s="88">
        <v>18</v>
      </c>
      <c r="B25" s="246" t="s">
        <v>167</v>
      </c>
      <c r="C25" s="247" t="s">
        <v>168</v>
      </c>
      <c r="D25" s="247" t="s">
        <v>44</v>
      </c>
      <c r="E25" s="247" t="s">
        <v>169</v>
      </c>
      <c r="F25" s="247" t="s">
        <v>170</v>
      </c>
      <c r="G25" s="247" t="s">
        <v>22</v>
      </c>
      <c r="H25" s="249">
        <v>45896.8</v>
      </c>
      <c r="I25" s="264" t="s">
        <v>171</v>
      </c>
      <c r="J25" s="264" t="s">
        <v>172</v>
      </c>
      <c r="K25" s="264" t="s">
        <v>173</v>
      </c>
      <c r="L25" s="264" t="s">
        <v>174</v>
      </c>
      <c r="M25" s="263" t="s">
        <v>175</v>
      </c>
      <c r="N25" s="256" t="s">
        <v>176</v>
      </c>
      <c r="O25" s="92" t="s">
        <v>177</v>
      </c>
    </row>
    <row r="26" spans="1:15">
      <c r="A26" s="88">
        <v>19</v>
      </c>
      <c r="B26" s="246" t="s">
        <v>178</v>
      </c>
      <c r="C26" s="247" t="s">
        <v>179</v>
      </c>
      <c r="D26" s="247" t="s">
        <v>44</v>
      </c>
      <c r="E26" s="247" t="s">
        <v>180</v>
      </c>
      <c r="F26" s="247" t="s">
        <v>181</v>
      </c>
      <c r="G26" s="247" t="s">
        <v>22</v>
      </c>
      <c r="H26" s="248">
        <f>'[1]DELTAPLUS 2ND'!$G$44</f>
        <v>18522</v>
      </c>
      <c r="I26" s="264" t="s">
        <v>182</v>
      </c>
      <c r="J26" s="264" t="s">
        <v>183</v>
      </c>
      <c r="K26" s="264" t="s">
        <v>184</v>
      </c>
      <c r="L26" s="264" t="s">
        <v>185</v>
      </c>
      <c r="M26" s="263" t="s">
        <v>186</v>
      </c>
      <c r="N26" s="256" t="s">
        <v>187</v>
      </c>
      <c r="O26" s="92" t="s">
        <v>188</v>
      </c>
    </row>
    <row r="27" spans="1:15">
      <c r="A27" s="88">
        <v>20</v>
      </c>
      <c r="B27" s="246" t="s">
        <v>189</v>
      </c>
      <c r="C27" s="247" t="s">
        <v>190</v>
      </c>
      <c r="D27" s="247" t="s">
        <v>44</v>
      </c>
      <c r="E27" s="247" t="s">
        <v>191</v>
      </c>
      <c r="F27" s="247" t="s">
        <v>192</v>
      </c>
      <c r="G27" s="247" t="s">
        <v>22</v>
      </c>
      <c r="H27" s="249">
        <f>'[1]DELTAPLUS 2ND'!$G$30</f>
        <v>29757</v>
      </c>
      <c r="I27" s="247">
        <v>3431931949</v>
      </c>
      <c r="J27" s="264" t="s">
        <v>193</v>
      </c>
      <c r="K27" s="264" t="s">
        <v>194</v>
      </c>
      <c r="L27" s="264" t="s">
        <v>195</v>
      </c>
      <c r="M27" s="263" t="s">
        <v>196</v>
      </c>
      <c r="N27" s="256" t="s">
        <v>197</v>
      </c>
      <c r="O27" s="92" t="s">
        <v>198</v>
      </c>
    </row>
    <row r="28" spans="1:15">
      <c r="A28" s="88">
        <v>21</v>
      </c>
      <c r="B28" s="246" t="s">
        <v>199</v>
      </c>
      <c r="C28" s="247" t="s">
        <v>200</v>
      </c>
      <c r="D28" s="247" t="s">
        <v>44</v>
      </c>
      <c r="E28" s="247" t="s">
        <v>201</v>
      </c>
      <c r="F28" s="247" t="s">
        <v>202</v>
      </c>
      <c r="G28" s="247" t="s">
        <v>22</v>
      </c>
      <c r="H28" s="248">
        <f>'[1]DELTAPLUS 2ND'!$G$42</f>
        <v>18522</v>
      </c>
      <c r="I28" s="264" t="s">
        <v>182</v>
      </c>
      <c r="J28" s="264" t="s">
        <v>203</v>
      </c>
      <c r="K28" s="264" t="s">
        <v>204</v>
      </c>
      <c r="L28" s="264" t="s">
        <v>205</v>
      </c>
      <c r="M28" s="263" t="s">
        <v>206</v>
      </c>
      <c r="N28" s="256" t="s">
        <v>207</v>
      </c>
      <c r="O28" s="92" t="s">
        <v>208</v>
      </c>
    </row>
    <row r="29" spans="1:15">
      <c r="A29" s="88">
        <v>22</v>
      </c>
      <c r="B29" s="246" t="s">
        <v>209</v>
      </c>
      <c r="C29" s="247" t="s">
        <v>147</v>
      </c>
      <c r="D29" s="247" t="s">
        <v>44</v>
      </c>
      <c r="E29" s="247" t="s">
        <v>210</v>
      </c>
      <c r="F29" s="247" t="s">
        <v>211</v>
      </c>
      <c r="G29" s="247" t="s">
        <v>22</v>
      </c>
      <c r="H29" s="248">
        <f>'[1]DELTAPLUS 2ND'!$G$39</f>
        <v>21013.44</v>
      </c>
      <c r="I29" s="264" t="s">
        <v>212</v>
      </c>
      <c r="J29" s="264" t="s">
        <v>213</v>
      </c>
      <c r="K29" s="264" t="s">
        <v>214</v>
      </c>
      <c r="L29" s="261"/>
      <c r="M29" s="263" t="s">
        <v>215</v>
      </c>
      <c r="N29" s="256" t="s">
        <v>216</v>
      </c>
      <c r="O29" s="92" t="s">
        <v>217</v>
      </c>
    </row>
    <row r="30" spans="1:15">
      <c r="A30" s="88">
        <v>23</v>
      </c>
      <c r="B30" s="246" t="s">
        <v>218</v>
      </c>
      <c r="C30" s="247" t="s">
        <v>158</v>
      </c>
      <c r="D30" s="247" t="s">
        <v>44</v>
      </c>
      <c r="E30" s="247" t="s">
        <v>210</v>
      </c>
      <c r="F30" s="247" t="s">
        <v>211</v>
      </c>
      <c r="G30" s="247" t="s">
        <v>22</v>
      </c>
      <c r="H30" s="250">
        <f>'[1]DELTAPLUS 1ST'!$G$34</f>
        <v>20097</v>
      </c>
      <c r="I30" s="264" t="s">
        <v>219</v>
      </c>
      <c r="J30" s="264" t="s">
        <v>220</v>
      </c>
      <c r="K30" s="264" t="s">
        <v>221</v>
      </c>
      <c r="L30" s="264" t="s">
        <v>222</v>
      </c>
      <c r="M30" s="263" t="s">
        <v>223</v>
      </c>
      <c r="N30" s="256" t="s">
        <v>224</v>
      </c>
      <c r="O30" s="92" t="s">
        <v>225</v>
      </c>
    </row>
    <row r="31" spans="1:15">
      <c r="A31" s="88">
        <v>24</v>
      </c>
      <c r="B31" s="246" t="s">
        <v>226</v>
      </c>
      <c r="C31" s="247" t="s">
        <v>158</v>
      </c>
      <c r="D31" s="247" t="s">
        <v>159</v>
      </c>
      <c r="E31" s="247" t="s">
        <v>191</v>
      </c>
      <c r="F31" s="247" t="s">
        <v>192</v>
      </c>
      <c r="G31" s="247" t="s">
        <v>22</v>
      </c>
      <c r="H31" s="250">
        <f>'[1]DELTAPLUS 1ST'!$G$34</f>
        <v>20097</v>
      </c>
      <c r="I31" s="264" t="s">
        <v>227</v>
      </c>
      <c r="J31" s="264" t="s">
        <v>228</v>
      </c>
      <c r="K31" s="264" t="s">
        <v>229</v>
      </c>
      <c r="L31" s="264" t="s">
        <v>230</v>
      </c>
      <c r="M31" s="263" t="s">
        <v>231</v>
      </c>
      <c r="N31" s="256" t="s">
        <v>232</v>
      </c>
      <c r="O31" s="92" t="s">
        <v>233</v>
      </c>
    </row>
    <row r="32" spans="1:15">
      <c r="A32" s="88">
        <v>25</v>
      </c>
      <c r="B32" s="246" t="s">
        <v>234</v>
      </c>
      <c r="C32" s="247" t="s">
        <v>158</v>
      </c>
      <c r="D32" s="247" t="s">
        <v>44</v>
      </c>
      <c r="E32" s="247" t="s">
        <v>235</v>
      </c>
      <c r="F32" s="247" t="s">
        <v>236</v>
      </c>
      <c r="G32" s="247" t="s">
        <v>22</v>
      </c>
      <c r="H32" s="249">
        <v>17892</v>
      </c>
      <c r="I32" s="247">
        <v>3458998732</v>
      </c>
      <c r="J32" s="264" t="s">
        <v>237</v>
      </c>
      <c r="K32" s="264" t="s">
        <v>238</v>
      </c>
      <c r="L32" s="264" t="s">
        <v>239</v>
      </c>
      <c r="M32" s="263" t="s">
        <v>240</v>
      </c>
      <c r="N32" s="256" t="s">
        <v>241</v>
      </c>
      <c r="O32" s="92" t="s">
        <v>242</v>
      </c>
    </row>
    <row r="33" spans="1:15">
      <c r="A33" s="88">
        <v>26</v>
      </c>
      <c r="B33" s="246" t="s">
        <v>243</v>
      </c>
      <c r="C33" s="247" t="s">
        <v>158</v>
      </c>
      <c r="D33" s="247" t="s">
        <v>44</v>
      </c>
      <c r="E33" s="247" t="s">
        <v>180</v>
      </c>
      <c r="F33" s="247" t="s">
        <v>181</v>
      </c>
      <c r="G33" s="247" t="s">
        <v>22</v>
      </c>
      <c r="H33" s="248">
        <f>'[1]DELTAPLUS 2ND'!$G$44</f>
        <v>18522</v>
      </c>
      <c r="I33" s="264" t="s">
        <v>244</v>
      </c>
      <c r="J33" s="264" t="s">
        <v>245</v>
      </c>
      <c r="K33" s="264" t="s">
        <v>246</v>
      </c>
      <c r="L33" s="264" t="s">
        <v>247</v>
      </c>
      <c r="M33" s="263" t="s">
        <v>248</v>
      </c>
      <c r="N33" s="256" t="s">
        <v>249</v>
      </c>
      <c r="O33" s="92" t="s">
        <v>250</v>
      </c>
    </row>
    <row r="34" s="88" customFormat="1" spans="1:15">
      <c r="A34" s="88">
        <v>27</v>
      </c>
      <c r="B34" s="246" t="s">
        <v>251</v>
      </c>
      <c r="C34" s="247" t="s">
        <v>200</v>
      </c>
      <c r="D34" s="247" t="s">
        <v>44</v>
      </c>
      <c r="E34" s="247" t="s">
        <v>252</v>
      </c>
      <c r="F34" s="247" t="s">
        <v>253</v>
      </c>
      <c r="G34" s="247" t="s">
        <v>22</v>
      </c>
      <c r="H34" s="251">
        <v>16770</v>
      </c>
      <c r="I34" s="247">
        <v>419615484</v>
      </c>
      <c r="J34" s="264" t="s">
        <v>254</v>
      </c>
      <c r="K34" s="264" t="s">
        <v>255</v>
      </c>
      <c r="L34" s="264" t="s">
        <v>256</v>
      </c>
      <c r="M34" s="263" t="s">
        <v>257</v>
      </c>
      <c r="N34" s="256" t="s">
        <v>258</v>
      </c>
      <c r="O34" s="92" t="s">
        <v>259</v>
      </c>
    </row>
    <row r="35" spans="1:15">
      <c r="A35" s="88">
        <v>29</v>
      </c>
      <c r="B35" s="246" t="s">
        <v>260</v>
      </c>
      <c r="C35" s="247" t="s">
        <v>147</v>
      </c>
      <c r="D35" s="247" t="s">
        <v>44</v>
      </c>
      <c r="E35" s="247" t="s">
        <v>210</v>
      </c>
      <c r="F35" s="247" t="s">
        <v>211</v>
      </c>
      <c r="G35" s="247" t="s">
        <v>22</v>
      </c>
      <c r="H35" s="250">
        <f>'[1]DELTAPLUS 2ND'!$G$40</f>
        <v>21013.44</v>
      </c>
      <c r="I35" s="264" t="s">
        <v>261</v>
      </c>
      <c r="J35" s="264" t="s">
        <v>262</v>
      </c>
      <c r="K35" s="264" t="s">
        <v>263</v>
      </c>
      <c r="L35" s="264" t="s">
        <v>264</v>
      </c>
      <c r="M35" s="263" t="s">
        <v>265</v>
      </c>
      <c r="N35" s="103"/>
      <c r="O35" s="92" t="s">
        <v>266</v>
      </c>
    </row>
    <row r="36" spans="1:15">
      <c r="A36" s="88">
        <v>30</v>
      </c>
      <c r="B36" s="246" t="s">
        <v>267</v>
      </c>
      <c r="C36" s="247" t="s">
        <v>158</v>
      </c>
      <c r="D36" s="247" t="s">
        <v>44</v>
      </c>
      <c r="E36" s="247" t="s">
        <v>201</v>
      </c>
      <c r="F36" s="247" t="s">
        <v>202</v>
      </c>
      <c r="G36" s="247" t="s">
        <v>22</v>
      </c>
      <c r="H36" s="250">
        <f>'[1]DELTAPLUS 1ST'!$G$35</f>
        <v>19572</v>
      </c>
      <c r="I36" s="247">
        <v>3476984223</v>
      </c>
      <c r="J36" s="264" t="s">
        <v>268</v>
      </c>
      <c r="K36" s="264" t="s">
        <v>269</v>
      </c>
      <c r="L36" s="264" t="s">
        <v>270</v>
      </c>
      <c r="M36" s="263" t="s">
        <v>271</v>
      </c>
      <c r="N36" s="256" t="s">
        <v>272</v>
      </c>
      <c r="O36" s="92" t="s">
        <v>273</v>
      </c>
    </row>
    <row r="37" s="88" customFormat="1" spans="2:15">
      <c r="B37" s="92" t="s">
        <v>274</v>
      </c>
      <c r="C37" s="103" t="s">
        <v>158</v>
      </c>
      <c r="D37" s="103" t="s">
        <v>44</v>
      </c>
      <c r="E37" s="103" t="s">
        <v>275</v>
      </c>
      <c r="F37" s="103" t="s">
        <v>276</v>
      </c>
      <c r="G37" s="103" t="s">
        <v>22</v>
      </c>
      <c r="H37" s="252"/>
      <c r="I37" s="263" t="s">
        <v>277</v>
      </c>
      <c r="J37" s="263" t="s">
        <v>278</v>
      </c>
      <c r="K37" s="263" t="s">
        <v>279</v>
      </c>
      <c r="L37" s="263" t="s">
        <v>280</v>
      </c>
      <c r="M37" s="263" t="s">
        <v>281</v>
      </c>
      <c r="N37" s="256"/>
      <c r="O37" s="92"/>
    </row>
  </sheetData>
  <hyperlinks>
    <hyperlink ref="N6" r:id="rId1" display="evangeline.ceniza@deltaplus.ph"/>
    <hyperlink ref="N5" r:id="rId2" display="leah.evangelista@deltaplus.ph"/>
    <hyperlink ref="N25" r:id="rId3" display="bong.ballena@deltaplus.ph"/>
    <hyperlink ref="N7" r:id="rId4" display="ronelabado@gmail.com"/>
    <hyperlink ref="N36" r:id="rId5" display="kennett.temones@yahoo.com"/>
    <hyperlink ref="N8" r:id="rId6" display="markading@gmail.com"/>
    <hyperlink ref="N28" r:id="rId7" display="violatorey@gmail.com"/>
    <hyperlink ref="N26" r:id="rId8" display="Jballena22@gmail.com"/>
    <hyperlink ref="N33" r:id="rId9" display="jhongmarcos22@gmail.com"/>
    <hyperlink ref="N23" r:id="rId10" display="sarzgwapo@gmail.com"/>
    <hyperlink ref="N29" r:id="rId11" display="ramelgenova1974@gmail.com"/>
    <hyperlink ref="N27" r:id="rId12" display="mj.canatoy@deltaplus.ph"/>
    <hyperlink ref="N31" r:id="rId13" display="niczyinterino@gmail.com"/>
    <hyperlink ref="N30" r:id="rId14" display="reynoldhilario44@gmail.com"/>
    <hyperlink ref="N32" r:id="rId15" display="lozadaryan762@gmail.com"/>
    <hyperlink ref="N34" r:id="rId16" display="donaldnavida96@gmail.com"/>
    <hyperlink ref="N15" r:id="rId17" display="francis.magallanes@deltaplus.ph"/>
    <hyperlink ref="N18" r:id="rId18" display="arvindiocena00@gmail.com"/>
    <hyperlink ref="N13" r:id="rId19" display="felicisimo.borromeo@deltaplus.ph"/>
  </hyperlinks>
  <pageMargins left="0.196850393700787" right="0.196850393700787" top="0.196850393700787" bottom="0.748031496062992" header="0.196850393700787" footer="0.31496062992126"/>
  <pageSetup paperSize="9" scale="7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zoomScale="64" zoomScaleNormal="64" workbookViewId="0">
      <selection activeCell="A2" sqref="A2"/>
    </sheetView>
  </sheetViews>
  <sheetFormatPr defaultColWidth="9" defaultRowHeight="15.6"/>
  <cols>
    <col min="1" max="1" width="40.1759259259259" style="188" customWidth="1"/>
    <col min="2" max="2" width="30.5462962962963" style="188" customWidth="1"/>
    <col min="3" max="3" width="22.9074074074074" style="188" customWidth="1"/>
    <col min="4" max="4" width="18.5462962962963" style="188" customWidth="1"/>
    <col min="5" max="5" width="22.6296296296296" style="188" customWidth="1"/>
    <col min="6" max="6" width="23.5462962962963" style="188" customWidth="1"/>
    <col min="7" max="7" width="25.5462962962963" style="188" customWidth="1"/>
    <col min="8" max="8" width="15.4537037037037" style="189" customWidth="1"/>
    <col min="9" max="9" width="18.7222222222222" style="188" customWidth="1"/>
    <col min="10" max="10" width="16.8148148148148" style="188" customWidth="1"/>
    <col min="11" max="11" width="16.0925925925926" style="188" customWidth="1"/>
    <col min="12" max="12" width="17.8148148148148" style="188" customWidth="1"/>
    <col min="13" max="13" width="23.5462962962963" style="188" customWidth="1"/>
    <col min="14" max="14" width="31.2685185185185" style="188" customWidth="1"/>
    <col min="15" max="15" width="88.2685185185185" style="188" customWidth="1"/>
    <col min="16" max="16" width="21.6296296296296" style="188" customWidth="1"/>
    <col min="17" max="16384" width="8.72222222222222" style="188"/>
  </cols>
  <sheetData>
    <row r="1" s="187" customFormat="1" spans="1:15">
      <c r="A1" s="190" t="s">
        <v>0</v>
      </c>
      <c r="B1" s="191"/>
      <c r="C1" s="191"/>
      <c r="D1" s="188"/>
      <c r="E1" s="188"/>
      <c r="F1" s="188"/>
      <c r="G1" s="188"/>
      <c r="H1" s="189"/>
      <c r="I1" s="188"/>
      <c r="J1" s="191"/>
      <c r="K1" s="191"/>
      <c r="L1" s="191"/>
      <c r="M1" s="191"/>
      <c r="N1" s="191"/>
      <c r="O1" s="188"/>
    </row>
    <row r="2" spans="1:14">
      <c r="A2" s="192" t="s">
        <v>282</v>
      </c>
      <c r="B2" s="191"/>
      <c r="C2" s="191"/>
      <c r="J2" s="191"/>
      <c r="K2" s="191"/>
      <c r="L2" s="191"/>
      <c r="M2" s="191"/>
      <c r="N2" s="191"/>
    </row>
    <row r="3" spans="1:14">
      <c r="A3" s="192"/>
      <c r="B3" s="191"/>
      <c r="C3" s="191"/>
      <c r="J3" s="191"/>
      <c r="K3" s="191"/>
      <c r="L3" s="191"/>
      <c r="M3" s="191"/>
      <c r="N3" s="191"/>
    </row>
    <row r="4" spans="1:15">
      <c r="A4" s="193" t="s">
        <v>2</v>
      </c>
      <c r="B4" s="193" t="s">
        <v>3</v>
      </c>
      <c r="C4" s="193" t="s">
        <v>283</v>
      </c>
      <c r="D4" s="193" t="s">
        <v>5</v>
      </c>
      <c r="E4" s="193" t="s">
        <v>6</v>
      </c>
      <c r="F4" s="193" t="s">
        <v>284</v>
      </c>
      <c r="G4" s="193" t="s">
        <v>7</v>
      </c>
      <c r="H4" s="193" t="s">
        <v>8</v>
      </c>
      <c r="I4" s="193" t="s">
        <v>9</v>
      </c>
      <c r="J4" s="193" t="s">
        <v>10</v>
      </c>
      <c r="K4" s="193" t="s">
        <v>11</v>
      </c>
      <c r="L4" s="193" t="s">
        <v>12</v>
      </c>
      <c r="M4" s="193" t="s">
        <v>13</v>
      </c>
      <c r="N4" s="193" t="s">
        <v>14</v>
      </c>
      <c r="O4" s="193" t="s">
        <v>15</v>
      </c>
    </row>
    <row r="5" spans="1:19">
      <c r="A5" s="194" t="s">
        <v>285</v>
      </c>
      <c r="B5" s="195" t="s">
        <v>84</v>
      </c>
      <c r="C5" s="195" t="s">
        <v>32</v>
      </c>
      <c r="D5" s="195" t="s">
        <v>286</v>
      </c>
      <c r="E5" s="195" t="s">
        <v>287</v>
      </c>
      <c r="F5" s="195" t="s">
        <v>288</v>
      </c>
      <c r="G5" s="195" t="s">
        <v>22</v>
      </c>
      <c r="H5" s="196">
        <v>20000</v>
      </c>
      <c r="I5" s="265" t="s">
        <v>289</v>
      </c>
      <c r="J5" s="265" t="s">
        <v>290</v>
      </c>
      <c r="K5" s="265" t="s">
        <v>291</v>
      </c>
      <c r="L5" s="265" t="s">
        <v>292</v>
      </c>
      <c r="M5" s="265" t="s">
        <v>293</v>
      </c>
      <c r="N5" s="215" t="s">
        <v>294</v>
      </c>
      <c r="O5" s="210" t="s">
        <v>295</v>
      </c>
      <c r="P5" s="187"/>
      <c r="Q5" s="187"/>
      <c r="R5" s="187"/>
      <c r="S5" s="187"/>
    </row>
    <row r="6" spans="1:15">
      <c r="A6" s="194" t="s">
        <v>296</v>
      </c>
      <c r="B6" s="195" t="s">
        <v>95</v>
      </c>
      <c r="C6" s="195" t="s">
        <v>32</v>
      </c>
      <c r="D6" s="195" t="s">
        <v>297</v>
      </c>
      <c r="E6" s="195" t="s">
        <v>298</v>
      </c>
      <c r="F6" s="195" t="s">
        <v>299</v>
      </c>
      <c r="G6" s="195" t="s">
        <v>22</v>
      </c>
      <c r="H6" s="197">
        <v>113382.4</v>
      </c>
      <c r="I6" s="265" t="s">
        <v>300</v>
      </c>
      <c r="J6" s="265" t="s">
        <v>301</v>
      </c>
      <c r="K6" s="265" t="s">
        <v>302</v>
      </c>
      <c r="L6" s="195" t="s">
        <v>303</v>
      </c>
      <c r="M6" s="265" t="s">
        <v>304</v>
      </c>
      <c r="N6" s="215" t="s">
        <v>305</v>
      </c>
      <c r="O6" s="210" t="s">
        <v>306</v>
      </c>
    </row>
    <row r="7" s="187" customFormat="1" spans="1:15">
      <c r="A7" s="194" t="s">
        <v>307</v>
      </c>
      <c r="B7" s="195" t="s">
        <v>308</v>
      </c>
      <c r="C7" s="195" t="s">
        <v>309</v>
      </c>
      <c r="D7" s="195" t="s">
        <v>310</v>
      </c>
      <c r="E7" s="195" t="s">
        <v>311</v>
      </c>
      <c r="F7" s="195" t="s">
        <v>312</v>
      </c>
      <c r="G7" s="195" t="s">
        <v>22</v>
      </c>
      <c r="H7" s="197">
        <v>24139.57</v>
      </c>
      <c r="I7" s="265" t="s">
        <v>313</v>
      </c>
      <c r="J7" s="265" t="s">
        <v>314</v>
      </c>
      <c r="K7" s="265" t="s">
        <v>315</v>
      </c>
      <c r="L7" s="195" t="s">
        <v>316</v>
      </c>
      <c r="M7" s="265" t="s">
        <v>317</v>
      </c>
      <c r="N7" s="215" t="s">
        <v>318</v>
      </c>
      <c r="O7" s="210" t="s">
        <v>319</v>
      </c>
    </row>
    <row r="8" spans="1:15">
      <c r="A8" s="194" t="s">
        <v>320</v>
      </c>
      <c r="B8" s="195" t="s">
        <v>321</v>
      </c>
      <c r="C8" s="195" t="s">
        <v>32</v>
      </c>
      <c r="D8" s="195" t="s">
        <v>322</v>
      </c>
      <c r="E8" s="195" t="s">
        <v>323</v>
      </c>
      <c r="F8" s="198" t="s">
        <v>299</v>
      </c>
      <c r="G8" s="195" t="s">
        <v>22</v>
      </c>
      <c r="H8" s="196">
        <v>28487</v>
      </c>
      <c r="I8" s="265" t="s">
        <v>324</v>
      </c>
      <c r="J8" s="265" t="s">
        <v>325</v>
      </c>
      <c r="K8" s="265" t="s">
        <v>326</v>
      </c>
      <c r="L8" s="195" t="s">
        <v>327</v>
      </c>
      <c r="M8" s="265" t="s">
        <v>328</v>
      </c>
      <c r="N8" s="215" t="s">
        <v>329</v>
      </c>
      <c r="O8" s="210" t="s">
        <v>330</v>
      </c>
    </row>
    <row r="9" s="187" customFormat="1" spans="1:15">
      <c r="A9" s="194" t="s">
        <v>331</v>
      </c>
      <c r="B9" s="195" t="s">
        <v>332</v>
      </c>
      <c r="C9" s="195" t="s">
        <v>32</v>
      </c>
      <c r="D9" s="195" t="s">
        <v>333</v>
      </c>
      <c r="E9" s="195" t="s">
        <v>334</v>
      </c>
      <c r="F9" s="195" t="s">
        <v>335</v>
      </c>
      <c r="G9" s="195" t="s">
        <v>22</v>
      </c>
      <c r="H9" s="197">
        <v>47198.72</v>
      </c>
      <c r="I9" s="265" t="s">
        <v>336</v>
      </c>
      <c r="J9" s="265" t="s">
        <v>337</v>
      </c>
      <c r="K9" s="265" t="s">
        <v>100</v>
      </c>
      <c r="L9" s="195" t="s">
        <v>338</v>
      </c>
      <c r="M9" s="265" t="s">
        <v>339</v>
      </c>
      <c r="N9" s="215" t="s">
        <v>340</v>
      </c>
      <c r="O9" s="210" t="s">
        <v>341</v>
      </c>
    </row>
    <row r="10" spans="1:15">
      <c r="A10" s="199" t="s">
        <v>342</v>
      </c>
      <c r="B10" s="198" t="s">
        <v>343</v>
      </c>
      <c r="C10" s="198" t="s">
        <v>32</v>
      </c>
      <c r="D10" s="198" t="s">
        <v>344</v>
      </c>
      <c r="E10" s="198" t="s">
        <v>345</v>
      </c>
      <c r="F10" s="195" t="s">
        <v>335</v>
      </c>
      <c r="G10" s="198" t="s">
        <v>22</v>
      </c>
      <c r="H10" s="200">
        <v>33284</v>
      </c>
      <c r="I10" s="266" t="s">
        <v>346</v>
      </c>
      <c r="J10" s="266" t="s">
        <v>347</v>
      </c>
      <c r="K10" s="266" t="s">
        <v>348</v>
      </c>
      <c r="L10" s="198" t="s">
        <v>349</v>
      </c>
      <c r="M10" s="266" t="s">
        <v>350</v>
      </c>
      <c r="N10" s="216" t="s">
        <v>351</v>
      </c>
      <c r="O10" s="217" t="s">
        <v>352</v>
      </c>
    </row>
    <row r="11" spans="1:16">
      <c r="A11" s="199" t="s">
        <v>353</v>
      </c>
      <c r="B11" s="198" t="s">
        <v>354</v>
      </c>
      <c r="C11" s="198" t="s">
        <v>32</v>
      </c>
      <c r="D11" s="198" t="s">
        <v>355</v>
      </c>
      <c r="E11" s="195" t="s">
        <v>356</v>
      </c>
      <c r="F11" s="195" t="s">
        <v>357</v>
      </c>
      <c r="G11" s="195" t="s">
        <v>22</v>
      </c>
      <c r="H11" s="200">
        <v>20000</v>
      </c>
      <c r="I11" s="198">
        <v>3443840044</v>
      </c>
      <c r="J11" s="266" t="s">
        <v>290</v>
      </c>
      <c r="K11" s="266" t="s">
        <v>291</v>
      </c>
      <c r="L11" s="266" t="s">
        <v>358</v>
      </c>
      <c r="M11" s="266" t="s">
        <v>359</v>
      </c>
      <c r="N11" s="216" t="s">
        <v>360</v>
      </c>
      <c r="O11" s="217" t="s">
        <v>361</v>
      </c>
      <c r="P11" s="218"/>
    </row>
    <row r="12" spans="1:16">
      <c r="A12" s="201" t="s">
        <v>362</v>
      </c>
      <c r="B12" s="202" t="s">
        <v>363</v>
      </c>
      <c r="C12" s="202" t="s">
        <v>32</v>
      </c>
      <c r="D12" s="202" t="s">
        <v>364</v>
      </c>
      <c r="E12" s="202" t="s">
        <v>365</v>
      </c>
      <c r="F12" s="202" t="s">
        <v>22</v>
      </c>
      <c r="G12" s="195" t="s">
        <v>22</v>
      </c>
      <c r="H12" s="203">
        <v>52177.9024</v>
      </c>
      <c r="I12" s="267" t="s">
        <v>336</v>
      </c>
      <c r="J12" s="267" t="s">
        <v>337</v>
      </c>
      <c r="K12" s="267" t="s">
        <v>366</v>
      </c>
      <c r="L12" s="268" t="s">
        <v>367</v>
      </c>
      <c r="M12" s="268" t="s">
        <v>368</v>
      </c>
      <c r="N12" s="219" t="s">
        <v>369</v>
      </c>
      <c r="O12" s="204" t="s">
        <v>370</v>
      </c>
      <c r="P12" s="218"/>
    </row>
    <row r="13" s="187" customFormat="1" spans="1:16">
      <c r="A13" s="204" t="s">
        <v>371</v>
      </c>
      <c r="B13" s="205" t="s">
        <v>143</v>
      </c>
      <c r="C13" s="205" t="s">
        <v>32</v>
      </c>
      <c r="D13" s="205" t="s">
        <v>372</v>
      </c>
      <c r="E13" s="205" t="s">
        <v>373</v>
      </c>
      <c r="F13" s="205"/>
      <c r="G13" s="195" t="s">
        <v>22</v>
      </c>
      <c r="H13" s="203">
        <v>40435.2</v>
      </c>
      <c r="I13" s="268" t="s">
        <v>374</v>
      </c>
      <c r="J13" s="268" t="s">
        <v>375</v>
      </c>
      <c r="K13" s="268" t="s">
        <v>376</v>
      </c>
      <c r="L13" s="268" t="s">
        <v>377</v>
      </c>
      <c r="M13" s="268" t="s">
        <v>378</v>
      </c>
      <c r="N13" s="219" t="s">
        <v>379</v>
      </c>
      <c r="O13" s="204" t="s">
        <v>380</v>
      </c>
      <c r="P13" s="220"/>
    </row>
    <row r="14" s="187" customFormat="1" spans="1:16">
      <c r="A14" s="204" t="s">
        <v>381</v>
      </c>
      <c r="B14" s="205" t="s">
        <v>118</v>
      </c>
      <c r="C14" s="205" t="s">
        <v>32</v>
      </c>
      <c r="D14" s="205" t="s">
        <v>201</v>
      </c>
      <c r="E14" s="205" t="s">
        <v>382</v>
      </c>
      <c r="F14" s="205"/>
      <c r="G14" s="195" t="s">
        <v>22</v>
      </c>
      <c r="H14" s="203">
        <v>25599</v>
      </c>
      <c r="I14" s="268" t="s">
        <v>383</v>
      </c>
      <c r="J14" s="268" t="s">
        <v>384</v>
      </c>
      <c r="K14" s="268" t="s">
        <v>385</v>
      </c>
      <c r="L14" s="268" t="s">
        <v>386</v>
      </c>
      <c r="M14" s="268" t="s">
        <v>387</v>
      </c>
      <c r="N14" s="219" t="s">
        <v>388</v>
      </c>
      <c r="O14" s="204" t="s">
        <v>389</v>
      </c>
      <c r="P14" s="220"/>
    </row>
    <row r="15" spans="1:15">
      <c r="A15" s="206" t="s">
        <v>390</v>
      </c>
      <c r="B15" s="207" t="s">
        <v>158</v>
      </c>
      <c r="C15" s="207" t="s">
        <v>44</v>
      </c>
      <c r="D15" s="207" t="s">
        <v>191</v>
      </c>
      <c r="E15" s="207" t="s">
        <v>192</v>
      </c>
      <c r="G15" s="207" t="s">
        <v>22</v>
      </c>
      <c r="H15" s="208">
        <f>'[1]DELTAPLUS 1ST'!$G$31</f>
        <v>19572</v>
      </c>
      <c r="I15" s="207">
        <v>3452771191</v>
      </c>
      <c r="J15" s="269" t="s">
        <v>391</v>
      </c>
      <c r="K15" s="269" t="s">
        <v>392</v>
      </c>
      <c r="L15" s="269" t="s">
        <v>393</v>
      </c>
      <c r="M15" s="268" t="s">
        <v>394</v>
      </c>
      <c r="N15" s="205"/>
      <c r="O15" s="204" t="s">
        <v>395</v>
      </c>
    </row>
    <row r="16" spans="7:7">
      <c r="G16" s="195" t="s">
        <v>22</v>
      </c>
    </row>
    <row r="17" spans="7:7">
      <c r="G17" s="195" t="s">
        <v>22</v>
      </c>
    </row>
    <row r="18" spans="7:7">
      <c r="G18" s="195" t="s">
        <v>22</v>
      </c>
    </row>
    <row r="20" s="187" customFormat="1" spans="1:15">
      <c r="A20" s="209" t="s">
        <v>396</v>
      </c>
      <c r="B20" s="188"/>
      <c r="C20" s="188"/>
      <c r="D20" s="188"/>
      <c r="E20" s="188"/>
      <c r="F20" s="188"/>
      <c r="G20" s="188"/>
      <c r="H20" s="189"/>
      <c r="I20" s="188"/>
      <c r="J20" s="188"/>
      <c r="K20" s="188"/>
      <c r="L20" s="188"/>
      <c r="M20" s="188"/>
      <c r="N20" s="188"/>
      <c r="O20" s="210" t="s">
        <v>397</v>
      </c>
    </row>
    <row r="21" spans="1:14">
      <c r="A21" s="210" t="s">
        <v>398</v>
      </c>
      <c r="B21" s="195" t="s">
        <v>399</v>
      </c>
      <c r="C21" s="195" t="s">
        <v>32</v>
      </c>
      <c r="D21" s="195" t="s">
        <v>400</v>
      </c>
      <c r="E21" s="195" t="s">
        <v>401</v>
      </c>
      <c r="F21" s="195" t="s">
        <v>402</v>
      </c>
      <c r="G21" s="195" t="s">
        <v>396</v>
      </c>
      <c r="H21" s="196">
        <v>60000</v>
      </c>
      <c r="I21" s="265" t="s">
        <v>403</v>
      </c>
      <c r="J21" s="265" t="s">
        <v>404</v>
      </c>
      <c r="K21" s="265" t="s">
        <v>405</v>
      </c>
      <c r="L21" s="195" t="s">
        <v>406</v>
      </c>
      <c r="M21" s="265" t="s">
        <v>407</v>
      </c>
      <c r="N21" s="215" t="s">
        <v>408</v>
      </c>
    </row>
    <row r="22" spans="1:14">
      <c r="A22" s="211" t="s">
        <v>409</v>
      </c>
      <c r="B22" s="198" t="s">
        <v>410</v>
      </c>
      <c r="C22" s="212" t="s">
        <v>32</v>
      </c>
      <c r="D22" s="198" t="s">
        <v>411</v>
      </c>
      <c r="E22" s="195"/>
      <c r="F22" s="195"/>
      <c r="G22" s="213" t="s">
        <v>396</v>
      </c>
      <c r="H22" s="214">
        <v>32000</v>
      </c>
      <c r="I22" s="266" t="s">
        <v>412</v>
      </c>
      <c r="J22" s="266" t="s">
        <v>413</v>
      </c>
      <c r="K22" s="266" t="s">
        <v>414</v>
      </c>
      <c r="L22" s="266" t="s">
        <v>415</v>
      </c>
      <c r="M22" s="266" t="s">
        <v>416</v>
      </c>
      <c r="N22" s="217" t="s">
        <v>417</v>
      </c>
    </row>
  </sheetData>
  <hyperlinks>
    <hyperlink ref="N21" r:id="rId1" display="conreyian.vallejos@deltaplus.ph"/>
    <hyperlink ref="N5" r:id="rId2" display="christine.asistio@deltaplus.ph"/>
    <hyperlink ref="N6" r:id="rId3" display="lex.carretas@deltaplus.ph"/>
    <hyperlink ref="N7" r:id="rId4" display="harold.masilungan@deltaplus.ph"/>
    <hyperlink ref="N8" r:id="rId5" display="jeff.gatchalian@deltaplus.ph"/>
    <hyperlink ref="N9" r:id="rId6" display="francis.echague@deltaplus.ph"/>
    <hyperlink ref="N10" r:id="rId7" display="arlene.lagas@deltaplus.ph"/>
    <hyperlink ref="N11" r:id="rId8" display="karla.aydalla@deltaplus.ph"/>
    <hyperlink ref="N13" r:id="rId9" display="nickah.abilar@deltaplus.ph"/>
    <hyperlink ref="N14" r:id="rId10" display="mariel.geres@deltaplus.ph"/>
    <hyperlink ref="N12" r:id="rId11" display="michael.delrosario@deltaplus.ph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A4" sqref="A4:B4"/>
    </sheetView>
  </sheetViews>
  <sheetFormatPr defaultColWidth="9" defaultRowHeight="14.4" outlineLevelCol="2"/>
  <cols>
    <col min="1" max="1" width="34.1759259259259" customWidth="1"/>
    <col min="2" max="2" width="19.5462962962963" style="49" customWidth="1"/>
  </cols>
  <sheetData>
    <row r="1" spans="1:2">
      <c r="A1" s="128" t="s">
        <v>0</v>
      </c>
      <c r="B1" s="123"/>
    </row>
    <row r="2" spans="1:2">
      <c r="A2" s="158" t="s">
        <v>418</v>
      </c>
      <c r="B2" s="123"/>
    </row>
    <row r="3" spans="1:2">
      <c r="A3" s="158"/>
      <c r="B3" s="123"/>
    </row>
    <row r="4" spans="1:2">
      <c r="A4" s="120" t="s">
        <v>2</v>
      </c>
      <c r="B4" s="120" t="s">
        <v>419</v>
      </c>
    </row>
    <row r="5" spans="1:2">
      <c r="A5" s="122" t="s">
        <v>371</v>
      </c>
      <c r="B5" s="124" t="s">
        <v>420</v>
      </c>
    </row>
    <row r="6" spans="1:2">
      <c r="A6" s="184" t="s">
        <v>285</v>
      </c>
      <c r="B6" s="185" t="s">
        <v>421</v>
      </c>
    </row>
    <row r="7" spans="1:2">
      <c r="A7" s="122" t="s">
        <v>146</v>
      </c>
      <c r="B7" s="124" t="s">
        <v>422</v>
      </c>
    </row>
    <row r="8" spans="1:2">
      <c r="A8" s="161" t="s">
        <v>353</v>
      </c>
      <c r="B8" s="124" t="s">
        <v>423</v>
      </c>
    </row>
    <row r="9" spans="1:2">
      <c r="A9" s="122" t="s">
        <v>157</v>
      </c>
      <c r="B9" s="124" t="s">
        <v>424</v>
      </c>
    </row>
    <row r="10" spans="1:2">
      <c r="A10" s="122" t="s">
        <v>167</v>
      </c>
      <c r="B10" s="124" t="s">
        <v>425</v>
      </c>
    </row>
    <row r="11" spans="1:2">
      <c r="A11" s="122" t="s">
        <v>178</v>
      </c>
      <c r="B11" s="124" t="s">
        <v>426</v>
      </c>
    </row>
    <row r="12" spans="1:2">
      <c r="A12" s="122" t="s">
        <v>83</v>
      </c>
      <c r="B12" s="124"/>
    </row>
    <row r="13" spans="1:2">
      <c r="A13" s="122" t="s">
        <v>189</v>
      </c>
      <c r="B13" s="124" t="s">
        <v>427</v>
      </c>
    </row>
    <row r="14" spans="1:2">
      <c r="A14" s="184" t="s">
        <v>296</v>
      </c>
      <c r="B14" s="185" t="s">
        <v>428</v>
      </c>
    </row>
    <row r="15" spans="1:2">
      <c r="A15" s="161" t="s">
        <v>30</v>
      </c>
      <c r="B15" s="124" t="s">
        <v>429</v>
      </c>
    </row>
    <row r="16" spans="1:2">
      <c r="A16" s="122" t="s">
        <v>362</v>
      </c>
      <c r="B16" s="124" t="s">
        <v>430</v>
      </c>
    </row>
    <row r="17" s="162" customFormat="1" spans="1:3">
      <c r="A17" s="161" t="s">
        <v>117</v>
      </c>
      <c r="B17" s="133" t="s">
        <v>431</v>
      </c>
      <c r="C17" s="186"/>
    </row>
    <row r="18" spans="1:2">
      <c r="A18" s="122" t="s">
        <v>331</v>
      </c>
      <c r="B18" s="124" t="s">
        <v>432</v>
      </c>
    </row>
    <row r="19" spans="1:2">
      <c r="A19" s="122" t="s">
        <v>17</v>
      </c>
      <c r="B19" s="152" t="s">
        <v>433</v>
      </c>
    </row>
    <row r="20" spans="1:2">
      <c r="A20" s="122" t="s">
        <v>129</v>
      </c>
      <c r="B20" s="152"/>
    </row>
    <row r="21" spans="1:2">
      <c r="A21" s="122" t="s">
        <v>199</v>
      </c>
      <c r="B21" s="124" t="s">
        <v>434</v>
      </c>
    </row>
    <row r="22" spans="1:2">
      <c r="A22" s="184" t="s">
        <v>320</v>
      </c>
      <c r="B22" s="185" t="s">
        <v>435</v>
      </c>
    </row>
    <row r="23" spans="1:2">
      <c r="A23" s="122" t="s">
        <v>381</v>
      </c>
      <c r="B23" s="124" t="s">
        <v>436</v>
      </c>
    </row>
    <row r="24" spans="1:2">
      <c r="A24" s="122" t="s">
        <v>209</v>
      </c>
      <c r="B24" s="124" t="s">
        <v>437</v>
      </c>
    </row>
    <row r="25" spans="1:2">
      <c r="A25" s="122" t="s">
        <v>218</v>
      </c>
      <c r="B25" s="124" t="s">
        <v>438</v>
      </c>
    </row>
    <row r="26" spans="1:2">
      <c r="A26" s="122" t="s">
        <v>226</v>
      </c>
      <c r="B26" s="124" t="s">
        <v>439</v>
      </c>
    </row>
    <row r="27" spans="1:2">
      <c r="A27" s="122" t="s">
        <v>42</v>
      </c>
      <c r="B27" s="124" t="s">
        <v>440</v>
      </c>
    </row>
    <row r="28" spans="1:2">
      <c r="A28" s="122" t="s">
        <v>342</v>
      </c>
      <c r="B28" s="124" t="s">
        <v>441</v>
      </c>
    </row>
    <row r="29" spans="1:2">
      <c r="A29" s="122" t="s">
        <v>53</v>
      </c>
      <c r="B29" s="124" t="s">
        <v>442</v>
      </c>
    </row>
    <row r="30" spans="1:2">
      <c r="A30" s="122" t="s">
        <v>234</v>
      </c>
      <c r="B30" s="124" t="s">
        <v>443</v>
      </c>
    </row>
    <row r="31" ht="16" customHeight="1" spans="1:2">
      <c r="A31" s="122" t="s">
        <v>94</v>
      </c>
      <c r="B31" s="124" t="s">
        <v>444</v>
      </c>
    </row>
    <row r="32" spans="1:2">
      <c r="A32" s="122" t="s">
        <v>445</v>
      </c>
      <c r="B32" s="124" t="s">
        <v>446</v>
      </c>
    </row>
    <row r="33" spans="1:2">
      <c r="A33" s="122" t="s">
        <v>307</v>
      </c>
      <c r="B33" s="124" t="s">
        <v>447</v>
      </c>
    </row>
    <row r="34" s="162" customFormat="1" spans="1:2">
      <c r="A34" s="161" t="s">
        <v>251</v>
      </c>
      <c r="B34" s="152" t="s">
        <v>448</v>
      </c>
    </row>
    <row r="35" spans="1:2">
      <c r="A35" s="122" t="s">
        <v>390</v>
      </c>
      <c r="B35" s="124" t="s">
        <v>449</v>
      </c>
    </row>
    <row r="36" spans="1:3">
      <c r="A36" s="161" t="s">
        <v>450</v>
      </c>
      <c r="B36" s="152" t="s">
        <v>451</v>
      </c>
      <c r="C36" s="86"/>
    </row>
    <row r="37" spans="1:2">
      <c r="A37" s="122" t="s">
        <v>260</v>
      </c>
      <c r="B37" s="124" t="s">
        <v>452</v>
      </c>
    </row>
    <row r="38" spans="1:2">
      <c r="A38" s="122" t="s">
        <v>267</v>
      </c>
      <c r="B38" s="124" t="s">
        <v>453</v>
      </c>
    </row>
    <row r="39" spans="1:2">
      <c r="A39" s="161" t="s">
        <v>454</v>
      </c>
      <c r="B39" s="133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G20" sqref="G20"/>
    </sheetView>
  </sheetViews>
  <sheetFormatPr defaultColWidth="9" defaultRowHeight="14.4"/>
  <cols>
    <col min="1" max="1" width="3.36111111111111" customWidth="1"/>
    <col min="2" max="2" width="34.2685185185185" customWidth="1"/>
    <col min="3" max="3" width="23.5462962962963" customWidth="1"/>
    <col min="4" max="4" width="11.6296296296296" customWidth="1"/>
    <col min="5" max="5" width="30.5462962962963" style="49" customWidth="1"/>
    <col min="6" max="6" width="16.5462962962963" style="49" customWidth="1"/>
    <col min="7" max="7" width="14.6296296296296" style="49" customWidth="1"/>
    <col min="8" max="8" width="16.4537037037037" customWidth="1"/>
    <col min="9" max="9" width="34.5462962962963" customWidth="1"/>
  </cols>
  <sheetData>
    <row r="1" spans="2:2">
      <c r="B1" s="112" t="s">
        <v>455</v>
      </c>
    </row>
    <row r="2" spans="2:2">
      <c r="B2" s="179" t="s">
        <v>456</v>
      </c>
    </row>
    <row r="3" s="125" customFormat="1" spans="1:9">
      <c r="A3" s="149"/>
      <c r="B3" s="149" t="s">
        <v>457</v>
      </c>
      <c r="C3" s="149" t="s">
        <v>458</v>
      </c>
      <c r="D3" s="149" t="s">
        <v>459</v>
      </c>
      <c r="E3" s="149" t="s">
        <v>460</v>
      </c>
      <c r="F3" s="149" t="s">
        <v>461</v>
      </c>
      <c r="G3" s="149" t="s">
        <v>462</v>
      </c>
      <c r="H3" s="149" t="s">
        <v>463</v>
      </c>
      <c r="I3" s="149" t="s">
        <v>464</v>
      </c>
    </row>
    <row r="4" spans="1:9">
      <c r="A4" s="91">
        <v>1</v>
      </c>
      <c r="B4" s="91" t="s">
        <v>465</v>
      </c>
      <c r="C4" s="123" t="s">
        <v>18</v>
      </c>
      <c r="D4" s="124" t="s">
        <v>466</v>
      </c>
      <c r="E4" s="124" t="s">
        <v>467</v>
      </c>
      <c r="F4" s="123">
        <v>3800</v>
      </c>
      <c r="G4" s="270" t="s">
        <v>39</v>
      </c>
      <c r="H4" s="270" t="s">
        <v>468</v>
      </c>
      <c r="I4" s="91"/>
    </row>
    <row r="5" spans="1:9">
      <c r="A5" s="91">
        <v>2</v>
      </c>
      <c r="B5" s="180" t="s">
        <v>469</v>
      </c>
      <c r="C5" s="133" t="s">
        <v>470</v>
      </c>
      <c r="D5" s="152" t="s">
        <v>466</v>
      </c>
      <c r="E5" s="133" t="s">
        <v>471</v>
      </c>
      <c r="F5" s="133">
        <v>2400</v>
      </c>
      <c r="G5" s="270" t="s">
        <v>368</v>
      </c>
      <c r="H5" s="270" t="s">
        <v>472</v>
      </c>
      <c r="I5" s="147" t="s">
        <v>473</v>
      </c>
    </row>
    <row r="6" spans="1:9">
      <c r="A6" s="91">
        <v>3</v>
      </c>
      <c r="B6" s="151" t="s">
        <v>474</v>
      </c>
      <c r="C6" s="133" t="s">
        <v>470</v>
      </c>
      <c r="D6" s="152" t="s">
        <v>466</v>
      </c>
      <c r="E6" s="181" t="s">
        <v>475</v>
      </c>
      <c r="F6" s="133">
        <v>1300</v>
      </c>
      <c r="G6" s="271" t="s">
        <v>339</v>
      </c>
      <c r="H6" s="271" t="s">
        <v>476</v>
      </c>
      <c r="I6" s="147" t="s">
        <v>477</v>
      </c>
    </row>
    <row r="7" spans="1:9">
      <c r="A7" s="91">
        <v>4</v>
      </c>
      <c r="B7" s="91" t="s">
        <v>478</v>
      </c>
      <c r="C7" s="123" t="s">
        <v>470</v>
      </c>
      <c r="D7" s="124" t="s">
        <v>466</v>
      </c>
      <c r="E7" s="124" t="s">
        <v>467</v>
      </c>
      <c r="F7" s="123">
        <v>3800</v>
      </c>
      <c r="G7" s="270" t="s">
        <v>102</v>
      </c>
      <c r="H7" s="270" t="s">
        <v>479</v>
      </c>
      <c r="I7" s="91"/>
    </row>
    <row r="8" spans="1:9">
      <c r="A8" s="91">
        <v>5</v>
      </c>
      <c r="B8" s="91" t="s">
        <v>480</v>
      </c>
      <c r="C8" s="123" t="s">
        <v>168</v>
      </c>
      <c r="D8" s="124" t="s">
        <v>466</v>
      </c>
      <c r="E8" s="124" t="s">
        <v>481</v>
      </c>
      <c r="F8" s="123">
        <v>5600</v>
      </c>
      <c r="G8" s="270" t="s">
        <v>482</v>
      </c>
      <c r="H8" s="270" t="s">
        <v>483</v>
      </c>
      <c r="I8" s="91"/>
    </row>
    <row r="9" spans="1:9">
      <c r="A9" s="91">
        <v>6</v>
      </c>
      <c r="B9" s="91" t="s">
        <v>484</v>
      </c>
      <c r="C9" s="123" t="s">
        <v>31</v>
      </c>
      <c r="D9" s="124" t="s">
        <v>466</v>
      </c>
      <c r="E9" s="124" t="s">
        <v>485</v>
      </c>
      <c r="F9" s="123">
        <v>1300</v>
      </c>
      <c r="G9" s="270" t="s">
        <v>39</v>
      </c>
      <c r="H9" s="270" t="s">
        <v>468</v>
      </c>
      <c r="I9" s="91"/>
    </row>
    <row r="10" spans="1:9">
      <c r="A10" s="91">
        <v>7</v>
      </c>
      <c r="B10" s="151" t="s">
        <v>486</v>
      </c>
      <c r="C10" s="152" t="s">
        <v>487</v>
      </c>
      <c r="D10" s="152" t="s">
        <v>466</v>
      </c>
      <c r="E10" s="152" t="s">
        <v>485</v>
      </c>
      <c r="F10" s="133" t="s">
        <v>488</v>
      </c>
      <c r="G10" s="270" t="s">
        <v>407</v>
      </c>
      <c r="H10" s="270" t="s">
        <v>489</v>
      </c>
      <c r="I10" s="91"/>
    </row>
    <row r="11" spans="1:9">
      <c r="A11" s="91">
        <v>8</v>
      </c>
      <c r="B11" s="151" t="s">
        <v>490</v>
      </c>
      <c r="C11" s="152" t="s">
        <v>491</v>
      </c>
      <c r="D11" s="152" t="s">
        <v>466</v>
      </c>
      <c r="E11" s="152" t="s">
        <v>492</v>
      </c>
      <c r="F11" s="133"/>
      <c r="G11" s="270" t="s">
        <v>493</v>
      </c>
      <c r="H11" s="270" t="s">
        <v>494</v>
      </c>
      <c r="I11" s="91"/>
    </row>
    <row r="12" spans="1:9">
      <c r="A12" s="91">
        <v>9</v>
      </c>
      <c r="B12" s="151" t="s">
        <v>495</v>
      </c>
      <c r="C12" s="152" t="s">
        <v>470</v>
      </c>
      <c r="D12" s="152" t="s">
        <v>466</v>
      </c>
      <c r="E12" s="182" t="s">
        <v>496</v>
      </c>
      <c r="F12" s="133"/>
      <c r="G12" s="272" t="s">
        <v>304</v>
      </c>
      <c r="H12" s="272" t="s">
        <v>497</v>
      </c>
      <c r="I12" s="147" t="s">
        <v>498</v>
      </c>
    </row>
    <row r="13" spans="1:9">
      <c r="A13" s="91">
        <v>10</v>
      </c>
      <c r="B13" s="151" t="s">
        <v>499</v>
      </c>
      <c r="C13" s="152" t="s">
        <v>130</v>
      </c>
      <c r="D13" s="152" t="s">
        <v>466</v>
      </c>
      <c r="E13" s="152" t="s">
        <v>500</v>
      </c>
      <c r="F13" s="133"/>
      <c r="G13" s="270" t="s">
        <v>501</v>
      </c>
      <c r="H13" s="270" t="s">
        <v>502</v>
      </c>
      <c r="I13" s="147" t="s">
        <v>503</v>
      </c>
    </row>
    <row r="14" spans="1:9">
      <c r="A14" s="91"/>
      <c r="B14" s="151"/>
      <c r="C14" s="151"/>
      <c r="D14" s="151"/>
      <c r="E14" s="133"/>
      <c r="F14" s="133"/>
      <c r="G14" s="123"/>
      <c r="H14" s="91"/>
      <c r="I14" s="91"/>
    </row>
  </sheetData>
  <pageMargins left="0.708661417322835" right="0.708661417322835" top="0.748031496062992" bottom="0.748031496062992" header="0.31496062992126" footer="0.31496062992126"/>
  <pageSetup paperSize="9" scale="8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zoomScale="51" zoomScaleNormal="51" workbookViewId="0">
      <selection activeCell="N30" sqref="N30"/>
    </sheetView>
  </sheetViews>
  <sheetFormatPr defaultColWidth="9" defaultRowHeight="14.4"/>
  <cols>
    <col min="1" max="1" width="31.1759259259259" customWidth="1"/>
    <col min="2" max="2" width="19.4537037037037" customWidth="1"/>
    <col min="3" max="3" width="24.4537037037037" customWidth="1"/>
    <col min="4" max="4" width="23.8148148148148" style="163" customWidth="1"/>
    <col min="5" max="5" width="19.8148148148148" customWidth="1"/>
    <col min="7" max="7" width="11.3611111111111" customWidth="1"/>
    <col min="12" max="12" width="15.4537037037037" customWidth="1"/>
    <col min="17" max="17" width="33.6296296296296" customWidth="1"/>
  </cols>
  <sheetData>
    <row r="1" ht="52.8" spans="1:17">
      <c r="A1" s="164" t="s">
        <v>504</v>
      </c>
      <c r="B1" s="164" t="s">
        <v>505</v>
      </c>
      <c r="C1" s="164" t="s">
        <v>506</v>
      </c>
      <c r="D1" s="165" t="s">
        <v>507</v>
      </c>
      <c r="E1" s="164" t="s">
        <v>508</v>
      </c>
      <c r="F1" s="164" t="s">
        <v>509</v>
      </c>
      <c r="G1" s="164" t="s">
        <v>510</v>
      </c>
      <c r="H1" s="164" t="s">
        <v>511</v>
      </c>
      <c r="I1" s="164" t="s">
        <v>512</v>
      </c>
      <c r="J1" s="164" t="s">
        <v>513</v>
      </c>
      <c r="K1" s="175" t="s">
        <v>514</v>
      </c>
      <c r="L1" s="175" t="s">
        <v>515</v>
      </c>
      <c r="M1" s="175" t="s">
        <v>516</v>
      </c>
      <c r="N1" s="175" t="s">
        <v>517</v>
      </c>
      <c r="O1" s="176" t="s">
        <v>518</v>
      </c>
      <c r="P1" s="176" t="s">
        <v>519</v>
      </c>
      <c r="Q1" s="176" t="s">
        <v>520</v>
      </c>
    </row>
    <row r="2" s="162" customFormat="1" spans="1:17">
      <c r="A2" s="166" t="s">
        <v>521</v>
      </c>
      <c r="B2" s="166" t="s">
        <v>522</v>
      </c>
      <c r="C2" s="166" t="s">
        <v>523</v>
      </c>
      <c r="D2" s="167" t="s">
        <v>524</v>
      </c>
      <c r="E2" s="166" t="s">
        <v>525</v>
      </c>
      <c r="F2" s="166" t="s">
        <v>526</v>
      </c>
      <c r="G2" s="166" t="s">
        <v>527</v>
      </c>
      <c r="H2" s="168">
        <v>2019</v>
      </c>
      <c r="I2" s="169" t="b">
        <v>1</v>
      </c>
      <c r="J2" s="169"/>
      <c r="K2" s="169" t="b">
        <v>0</v>
      </c>
      <c r="L2" s="169" t="s">
        <v>528</v>
      </c>
      <c r="M2" s="169" t="b">
        <v>0</v>
      </c>
      <c r="N2" s="169" t="b">
        <v>1</v>
      </c>
      <c r="O2" s="169" t="b">
        <v>0</v>
      </c>
      <c r="P2" s="169" t="b">
        <v>1</v>
      </c>
      <c r="Q2" s="169" t="s">
        <v>529</v>
      </c>
    </row>
    <row r="3" s="162" customFormat="1" spans="1:17">
      <c r="A3" s="166" t="s">
        <v>521</v>
      </c>
      <c r="B3" s="169" t="s">
        <v>530</v>
      </c>
      <c r="C3" s="169" t="s">
        <v>523</v>
      </c>
      <c r="D3" s="170" t="s">
        <v>531</v>
      </c>
      <c r="E3" s="169" t="s">
        <v>525</v>
      </c>
      <c r="F3" s="169" t="s">
        <v>526</v>
      </c>
      <c r="G3" s="169" t="s">
        <v>527</v>
      </c>
      <c r="H3" s="169">
        <v>2022</v>
      </c>
      <c r="I3" s="169" t="b">
        <v>1</v>
      </c>
      <c r="J3" s="169"/>
      <c r="K3" s="169" t="b">
        <v>0</v>
      </c>
      <c r="L3" s="169" t="s">
        <v>528</v>
      </c>
      <c r="M3" s="169" t="b">
        <v>0</v>
      </c>
      <c r="N3" s="169" t="b">
        <v>1</v>
      </c>
      <c r="O3" s="169" t="b">
        <v>0</v>
      </c>
      <c r="P3" s="169" t="b">
        <v>1</v>
      </c>
      <c r="Q3" s="169" t="s">
        <v>532</v>
      </c>
    </row>
    <row r="4" s="162" customFormat="1" spans="1:17">
      <c r="A4" s="166" t="s">
        <v>521</v>
      </c>
      <c r="B4" s="166" t="s">
        <v>533</v>
      </c>
      <c r="C4" s="166" t="s">
        <v>523</v>
      </c>
      <c r="D4" s="167" t="s">
        <v>534</v>
      </c>
      <c r="E4" s="166" t="s">
        <v>525</v>
      </c>
      <c r="F4" s="166" t="s">
        <v>526</v>
      </c>
      <c r="G4" s="166" t="s">
        <v>527</v>
      </c>
      <c r="H4" s="168">
        <v>2020</v>
      </c>
      <c r="I4" s="169" t="b">
        <v>1</v>
      </c>
      <c r="J4" s="169"/>
      <c r="K4" s="169" t="b">
        <v>0</v>
      </c>
      <c r="L4" s="169" t="s">
        <v>528</v>
      </c>
      <c r="M4" s="169" t="b">
        <v>0</v>
      </c>
      <c r="N4" s="169" t="b">
        <v>1</v>
      </c>
      <c r="O4" s="169" t="b">
        <v>0</v>
      </c>
      <c r="P4" s="169" t="b">
        <v>1</v>
      </c>
      <c r="Q4" s="169" t="s">
        <v>535</v>
      </c>
    </row>
    <row r="5" s="162" customFormat="1" spans="1:17">
      <c r="A5" s="166" t="s">
        <v>521</v>
      </c>
      <c r="B5" s="166" t="s">
        <v>536</v>
      </c>
      <c r="C5" s="166" t="s">
        <v>523</v>
      </c>
      <c r="D5" s="167" t="s">
        <v>537</v>
      </c>
      <c r="E5" s="166" t="s">
        <v>525</v>
      </c>
      <c r="F5" s="166" t="s">
        <v>526</v>
      </c>
      <c r="G5" s="166" t="s">
        <v>527</v>
      </c>
      <c r="H5" s="168">
        <v>2019</v>
      </c>
      <c r="I5" s="169" t="b">
        <v>1</v>
      </c>
      <c r="J5" s="169"/>
      <c r="K5" s="169" t="b">
        <v>1</v>
      </c>
      <c r="L5" s="169" t="s">
        <v>528</v>
      </c>
      <c r="M5" s="169" t="b">
        <v>0</v>
      </c>
      <c r="N5" s="169" t="b">
        <v>1</v>
      </c>
      <c r="O5" s="169" t="b">
        <v>0</v>
      </c>
      <c r="P5" s="169" t="b">
        <v>1</v>
      </c>
      <c r="Q5" s="177" t="s">
        <v>538</v>
      </c>
    </row>
    <row r="6" s="162" customFormat="1" spans="1:17">
      <c r="A6" s="169" t="s">
        <v>539</v>
      </c>
      <c r="B6" s="169" t="s">
        <v>540</v>
      </c>
      <c r="C6" s="169" t="s">
        <v>523</v>
      </c>
      <c r="D6" s="170" t="s">
        <v>541</v>
      </c>
      <c r="E6" s="169" t="s">
        <v>525</v>
      </c>
      <c r="F6" s="169" t="s">
        <v>526</v>
      </c>
      <c r="G6" s="169" t="s">
        <v>527</v>
      </c>
      <c r="H6" s="169">
        <v>2021</v>
      </c>
      <c r="I6" s="169" t="b">
        <v>1</v>
      </c>
      <c r="J6" s="169"/>
      <c r="K6" s="169" t="b">
        <v>1</v>
      </c>
      <c r="L6" s="169" t="s">
        <v>542</v>
      </c>
      <c r="M6" s="169" t="b">
        <v>0</v>
      </c>
      <c r="N6" s="169" t="b">
        <v>0</v>
      </c>
      <c r="O6" s="169" t="b">
        <v>0</v>
      </c>
      <c r="P6" s="169" t="b">
        <v>1</v>
      </c>
      <c r="Q6" s="169" t="s">
        <v>543</v>
      </c>
    </row>
    <row r="7" s="162" customFormat="1" spans="1:17">
      <c r="A7" s="166" t="s">
        <v>539</v>
      </c>
      <c r="B7" s="166" t="s">
        <v>544</v>
      </c>
      <c r="C7" s="166" t="s">
        <v>523</v>
      </c>
      <c r="D7" s="167" t="s">
        <v>545</v>
      </c>
      <c r="E7" s="166" t="s">
        <v>525</v>
      </c>
      <c r="F7" s="166" t="s">
        <v>526</v>
      </c>
      <c r="G7" s="166" t="s">
        <v>527</v>
      </c>
      <c r="H7" s="168">
        <v>2019</v>
      </c>
      <c r="I7" s="169" t="b">
        <v>1</v>
      </c>
      <c r="J7" s="169"/>
      <c r="K7" s="169" t="b">
        <v>1</v>
      </c>
      <c r="L7" s="169" t="s">
        <v>542</v>
      </c>
      <c r="M7" s="169" t="b">
        <v>0</v>
      </c>
      <c r="N7" s="169" t="b">
        <v>0</v>
      </c>
      <c r="O7" s="169" t="b">
        <v>0</v>
      </c>
      <c r="P7" s="169" t="b">
        <v>1</v>
      </c>
      <c r="Q7" s="169" t="s">
        <v>546</v>
      </c>
    </row>
    <row r="8" s="162" customFormat="1" spans="1:17">
      <c r="A8" s="169" t="s">
        <v>539</v>
      </c>
      <c r="B8" s="169" t="s">
        <v>547</v>
      </c>
      <c r="C8" s="169" t="s">
        <v>523</v>
      </c>
      <c r="D8" s="170" t="s">
        <v>548</v>
      </c>
      <c r="E8" s="169" t="s">
        <v>525</v>
      </c>
      <c r="F8" s="169" t="s">
        <v>526</v>
      </c>
      <c r="G8" s="169" t="s">
        <v>527</v>
      </c>
      <c r="H8" s="169">
        <v>2021</v>
      </c>
      <c r="I8" s="169" t="b">
        <v>1</v>
      </c>
      <c r="J8" s="169"/>
      <c r="K8" s="169" t="b">
        <v>1</v>
      </c>
      <c r="L8" s="169" t="s">
        <v>542</v>
      </c>
      <c r="M8" s="169" t="b">
        <v>0</v>
      </c>
      <c r="N8" s="169" t="b">
        <v>0</v>
      </c>
      <c r="O8" s="169" t="b">
        <v>0</v>
      </c>
      <c r="P8" s="169" t="b">
        <v>1</v>
      </c>
      <c r="Q8" s="169" t="s">
        <v>549</v>
      </c>
    </row>
    <row r="9" s="162" customFormat="1" spans="1:17">
      <c r="A9" s="166" t="s">
        <v>521</v>
      </c>
      <c r="B9" s="166" t="s">
        <v>550</v>
      </c>
      <c r="C9" s="166" t="s">
        <v>523</v>
      </c>
      <c r="D9" s="167" t="s">
        <v>551</v>
      </c>
      <c r="E9" s="166" t="s">
        <v>525</v>
      </c>
      <c r="F9" s="166" t="s">
        <v>526</v>
      </c>
      <c r="G9" s="166" t="s">
        <v>527</v>
      </c>
      <c r="H9" s="168">
        <v>2021</v>
      </c>
      <c r="I9" s="169" t="b">
        <v>1</v>
      </c>
      <c r="J9" s="169"/>
      <c r="K9" s="169" t="b">
        <v>1</v>
      </c>
      <c r="L9" s="169" t="s">
        <v>552</v>
      </c>
      <c r="M9" s="169" t="b">
        <v>0</v>
      </c>
      <c r="N9" s="169" t="b">
        <v>0</v>
      </c>
      <c r="O9" s="169" t="b">
        <v>0</v>
      </c>
      <c r="P9" s="169" t="b">
        <v>1</v>
      </c>
      <c r="Q9" s="169" t="s">
        <v>553</v>
      </c>
    </row>
    <row r="10" s="162" customFormat="1" spans="1:17">
      <c r="A10" s="166" t="s">
        <v>539</v>
      </c>
      <c r="B10" s="166" t="s">
        <v>554</v>
      </c>
      <c r="C10" s="166" t="s">
        <v>523</v>
      </c>
      <c r="D10" s="167" t="s">
        <v>555</v>
      </c>
      <c r="E10" s="166" t="s">
        <v>525</v>
      </c>
      <c r="F10" s="166" t="s">
        <v>526</v>
      </c>
      <c r="G10" s="166" t="s">
        <v>527</v>
      </c>
      <c r="H10" s="166">
        <v>2021</v>
      </c>
      <c r="I10" s="169" t="b">
        <v>1</v>
      </c>
      <c r="J10" s="169"/>
      <c r="K10" s="169" t="b">
        <v>1</v>
      </c>
      <c r="L10" s="169" t="s">
        <v>552</v>
      </c>
      <c r="M10" s="169" t="b">
        <v>0</v>
      </c>
      <c r="N10" s="169" t="b">
        <v>0</v>
      </c>
      <c r="O10" s="169" t="b">
        <v>0</v>
      </c>
      <c r="P10" s="169" t="b">
        <v>1</v>
      </c>
      <c r="Q10" s="169" t="s">
        <v>556</v>
      </c>
    </row>
    <row r="11" s="162" customFormat="1" spans="1:17">
      <c r="A11" s="166" t="s">
        <v>539</v>
      </c>
      <c r="B11" s="166" t="s">
        <v>557</v>
      </c>
      <c r="C11" s="166" t="s">
        <v>523</v>
      </c>
      <c r="D11" s="167" t="s">
        <v>558</v>
      </c>
      <c r="E11" s="166" t="s">
        <v>559</v>
      </c>
      <c r="F11" s="166" t="s">
        <v>526</v>
      </c>
      <c r="G11" s="166" t="s">
        <v>527</v>
      </c>
      <c r="H11" s="168">
        <v>2016</v>
      </c>
      <c r="I11" s="169" t="b">
        <v>0</v>
      </c>
      <c r="J11" s="169" t="s">
        <v>560</v>
      </c>
      <c r="K11" s="169" t="b">
        <v>0</v>
      </c>
      <c r="L11" s="169"/>
      <c r="M11" s="169" t="b">
        <v>0</v>
      </c>
      <c r="N11" s="169" t="b">
        <v>0</v>
      </c>
      <c r="O11" s="169" t="b">
        <v>0</v>
      </c>
      <c r="P11" s="169" t="b">
        <v>0</v>
      </c>
      <c r="Q11" s="169" t="s">
        <v>561</v>
      </c>
    </row>
    <row r="12" s="162" customFormat="1" spans="1:17">
      <c r="A12" s="169" t="s">
        <v>539</v>
      </c>
      <c r="B12" s="169" t="s">
        <v>562</v>
      </c>
      <c r="C12" s="169" t="s">
        <v>523</v>
      </c>
      <c r="D12" s="170" t="s">
        <v>563</v>
      </c>
      <c r="E12" s="171" t="s">
        <v>525</v>
      </c>
      <c r="F12" s="166" t="s">
        <v>526</v>
      </c>
      <c r="G12" s="166" t="s">
        <v>527</v>
      </c>
      <c r="H12" s="172">
        <v>2022</v>
      </c>
      <c r="I12" s="169" t="b">
        <v>1</v>
      </c>
      <c r="J12" s="169"/>
      <c r="K12" s="169" t="b">
        <v>1</v>
      </c>
      <c r="L12" s="169" t="s">
        <v>564</v>
      </c>
      <c r="M12" s="169" t="b">
        <v>0</v>
      </c>
      <c r="N12" s="169" t="b">
        <v>0</v>
      </c>
      <c r="O12" s="169" t="b">
        <v>0</v>
      </c>
      <c r="P12" s="169" t="b">
        <v>1</v>
      </c>
      <c r="Q12" s="169" t="s">
        <v>565</v>
      </c>
    </row>
    <row r="13" s="162" customFormat="1" spans="1:17">
      <c r="A13" s="166" t="s">
        <v>521</v>
      </c>
      <c r="B13" s="166" t="s">
        <v>566</v>
      </c>
      <c r="C13" s="169" t="s">
        <v>523</v>
      </c>
      <c r="D13" s="170" t="s">
        <v>567</v>
      </c>
      <c r="E13" s="166" t="s">
        <v>525</v>
      </c>
      <c r="F13" s="166" t="s">
        <v>526</v>
      </c>
      <c r="G13" s="166" t="s">
        <v>527</v>
      </c>
      <c r="H13" s="169"/>
      <c r="I13" s="169" t="b">
        <v>0</v>
      </c>
      <c r="J13" s="169"/>
      <c r="K13" s="169" t="b">
        <v>0</v>
      </c>
      <c r="L13" s="169"/>
      <c r="M13" s="169" t="b">
        <v>0</v>
      </c>
      <c r="N13" s="169" t="b">
        <v>0</v>
      </c>
      <c r="O13" s="169" t="b">
        <v>0</v>
      </c>
      <c r="P13" s="169" t="b">
        <v>0</v>
      </c>
      <c r="Q13" s="169" t="s">
        <v>568</v>
      </c>
    </row>
    <row r="14" s="162" customFormat="1" spans="1:17">
      <c r="A14" s="166" t="s">
        <v>539</v>
      </c>
      <c r="B14" s="166" t="s">
        <v>569</v>
      </c>
      <c r="C14" s="166" t="s">
        <v>523</v>
      </c>
      <c r="D14" s="167" t="s">
        <v>570</v>
      </c>
      <c r="E14" s="166" t="s">
        <v>525</v>
      </c>
      <c r="F14" s="166" t="s">
        <v>526</v>
      </c>
      <c r="G14" s="166" t="s">
        <v>527</v>
      </c>
      <c r="H14" s="168">
        <v>2019</v>
      </c>
      <c r="I14" s="166" t="b">
        <v>1</v>
      </c>
      <c r="J14" s="166"/>
      <c r="K14" s="166" t="b">
        <v>1</v>
      </c>
      <c r="L14" s="166" t="s">
        <v>564</v>
      </c>
      <c r="M14" s="166" t="b">
        <v>0</v>
      </c>
      <c r="N14" s="166" t="b">
        <v>0</v>
      </c>
      <c r="O14" s="166" t="b">
        <v>0</v>
      </c>
      <c r="P14" s="166" t="b">
        <v>1</v>
      </c>
      <c r="Q14" s="166" t="s">
        <v>490</v>
      </c>
    </row>
    <row r="15" s="162" customFormat="1" spans="1:17">
      <c r="A15" s="166" t="s">
        <v>539</v>
      </c>
      <c r="B15" s="166" t="s">
        <v>571</v>
      </c>
      <c r="C15" s="166" t="s">
        <v>523</v>
      </c>
      <c r="D15" s="167" t="s">
        <v>572</v>
      </c>
      <c r="E15" s="166" t="s">
        <v>525</v>
      </c>
      <c r="F15" s="166" t="s">
        <v>526</v>
      </c>
      <c r="G15" s="166" t="s">
        <v>527</v>
      </c>
      <c r="H15" s="168">
        <v>2019</v>
      </c>
      <c r="I15" s="166" t="b">
        <v>1</v>
      </c>
      <c r="J15" s="166"/>
      <c r="K15" s="166" t="b">
        <v>1</v>
      </c>
      <c r="L15" s="166" t="s">
        <v>564</v>
      </c>
      <c r="M15" s="166" t="b">
        <v>0</v>
      </c>
      <c r="N15" s="166" t="b">
        <v>0</v>
      </c>
      <c r="O15" s="166" t="b">
        <v>0</v>
      </c>
      <c r="P15" s="166" t="b">
        <v>1</v>
      </c>
      <c r="Q15" s="166" t="s">
        <v>573</v>
      </c>
    </row>
    <row r="16" s="162" customFormat="1" spans="1:17">
      <c r="A16" s="166" t="s">
        <v>521</v>
      </c>
      <c r="B16" s="166" t="s">
        <v>574</v>
      </c>
      <c r="C16" s="166" t="s">
        <v>523</v>
      </c>
      <c r="D16" s="167" t="s">
        <v>575</v>
      </c>
      <c r="E16" s="166" t="s">
        <v>525</v>
      </c>
      <c r="F16" s="166" t="s">
        <v>526</v>
      </c>
      <c r="G16" s="166" t="s">
        <v>527</v>
      </c>
      <c r="H16" s="166">
        <v>2019</v>
      </c>
      <c r="I16" s="169" t="b">
        <v>1</v>
      </c>
      <c r="J16" s="169"/>
      <c r="K16" s="169" t="b">
        <v>1</v>
      </c>
      <c r="L16" s="169" t="s">
        <v>564</v>
      </c>
      <c r="M16" s="169" t="b">
        <v>0</v>
      </c>
      <c r="N16" s="169" t="b">
        <v>0</v>
      </c>
      <c r="O16" s="169" t="b">
        <v>0</v>
      </c>
      <c r="P16" s="169" t="b">
        <v>1</v>
      </c>
      <c r="Q16" s="169" t="s">
        <v>576</v>
      </c>
    </row>
    <row r="17" s="162" customFormat="1" spans="1:17">
      <c r="A17" s="169" t="s">
        <v>521</v>
      </c>
      <c r="B17" s="169" t="s">
        <v>577</v>
      </c>
      <c r="C17" s="169" t="s">
        <v>523</v>
      </c>
      <c r="D17" s="170" t="s">
        <v>578</v>
      </c>
      <c r="E17" s="169" t="s">
        <v>525</v>
      </c>
      <c r="F17" s="169" t="s">
        <v>526</v>
      </c>
      <c r="G17" s="169" t="s">
        <v>527</v>
      </c>
      <c r="H17" s="169">
        <v>2022</v>
      </c>
      <c r="I17" s="169" t="b">
        <v>1</v>
      </c>
      <c r="J17" s="169"/>
      <c r="K17" s="169" t="b">
        <v>0</v>
      </c>
      <c r="L17" s="169" t="s">
        <v>528</v>
      </c>
      <c r="M17" s="169" t="b">
        <v>0</v>
      </c>
      <c r="N17" s="169" t="b">
        <v>1</v>
      </c>
      <c r="O17" s="169" t="b">
        <v>0</v>
      </c>
      <c r="P17" s="169" t="b">
        <v>1</v>
      </c>
      <c r="Q17" s="169" t="s">
        <v>579</v>
      </c>
    </row>
    <row r="18" s="162" customFormat="1" spans="1:17">
      <c r="A18" s="173"/>
      <c r="B18" s="173"/>
      <c r="C18" s="173"/>
      <c r="D18" s="174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8"/>
    </row>
    <row r="19" s="162" customFormat="1" spans="1:17">
      <c r="A19" s="173"/>
      <c r="B19" s="173"/>
      <c r="C19" s="173"/>
      <c r="D19" s="174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8"/>
    </row>
  </sheetData>
  <dataValidations count="3">
    <dataValidation type="list" allowBlank="1" showErrorMessage="1" sqref="A2:A17">
      <formula1>#REF!</formula1>
    </dataValidation>
    <dataValidation type="list" allowBlank="1" sqref="E2:E17">
      <formula1>#REF!</formula1>
    </dataValidation>
    <dataValidation type="list" allowBlank="1" showErrorMessage="1" sqref="H2:H17">
      <formula1>$T$20:$T$69</formula1>
    </dataValidation>
  </dataValidations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C15" sqref="C15"/>
    </sheetView>
  </sheetViews>
  <sheetFormatPr defaultColWidth="9" defaultRowHeight="14.4" outlineLevelCol="7"/>
  <cols>
    <col min="1" max="1" width="3.62962962962963" customWidth="1"/>
    <col min="2" max="2" width="33.3611111111111" customWidth="1"/>
    <col min="3" max="3" width="16.4537037037037" style="49" customWidth="1"/>
    <col min="4" max="4" width="16.7222222222222" style="49" customWidth="1"/>
    <col min="5" max="5" width="10.4537037037037" style="49" customWidth="1"/>
    <col min="6" max="7" width="11.5462962962963" style="49" customWidth="1"/>
    <col min="8" max="8" width="15.7222222222222" style="49" customWidth="1"/>
  </cols>
  <sheetData>
    <row r="1" spans="1:8">
      <c r="A1" s="91"/>
      <c r="B1" s="128" t="s">
        <v>0</v>
      </c>
      <c r="C1" s="123"/>
      <c r="D1" s="123"/>
      <c r="E1" s="123"/>
      <c r="F1" s="123"/>
      <c r="G1" s="123"/>
      <c r="H1" s="123"/>
    </row>
    <row r="2" spans="1:8">
      <c r="A2" s="91"/>
      <c r="B2" s="158" t="s">
        <v>580</v>
      </c>
      <c r="C2" s="123"/>
      <c r="D2" s="123"/>
      <c r="E2" s="159" t="s">
        <v>581</v>
      </c>
      <c r="F2" s="159" t="s">
        <v>581</v>
      </c>
      <c r="G2" s="159" t="s">
        <v>582</v>
      </c>
      <c r="H2" s="123"/>
    </row>
    <row r="3" spans="1:8">
      <c r="A3" s="91"/>
      <c r="B3" s="120" t="s">
        <v>2</v>
      </c>
      <c r="C3" s="120" t="s">
        <v>583</v>
      </c>
      <c r="D3" s="120" t="s">
        <v>584</v>
      </c>
      <c r="E3" s="159" t="s">
        <v>585</v>
      </c>
      <c r="F3" s="160" t="s">
        <v>586</v>
      </c>
      <c r="G3" s="160" t="s">
        <v>586</v>
      </c>
      <c r="H3" s="149" t="s">
        <v>587</v>
      </c>
    </row>
    <row r="4" spans="1:8">
      <c r="A4" s="91">
        <v>1</v>
      </c>
      <c r="B4" s="122" t="s">
        <v>371</v>
      </c>
      <c r="C4" s="123">
        <v>38</v>
      </c>
      <c r="D4" s="123" t="s">
        <v>588</v>
      </c>
      <c r="E4" s="133">
        <v>1</v>
      </c>
      <c r="F4" s="124">
        <v>0</v>
      </c>
      <c r="G4" s="124">
        <v>0</v>
      </c>
      <c r="H4" s="123">
        <f t="shared" ref="H4:H33" si="0">SUM(E4:G4)</f>
        <v>1</v>
      </c>
    </row>
    <row r="5" spans="1:8">
      <c r="A5" s="91">
        <v>2</v>
      </c>
      <c r="B5" s="122" t="s">
        <v>146</v>
      </c>
      <c r="C5" s="123">
        <v>40</v>
      </c>
      <c r="D5" s="123" t="s">
        <v>589</v>
      </c>
      <c r="E5" s="123">
        <v>1</v>
      </c>
      <c r="F5" s="124">
        <v>0</v>
      </c>
      <c r="G5" s="124">
        <v>1</v>
      </c>
      <c r="H5" s="123">
        <f t="shared" si="0"/>
        <v>2</v>
      </c>
    </row>
    <row r="6" spans="1:8">
      <c r="A6" s="91">
        <v>3</v>
      </c>
      <c r="B6" s="122" t="s">
        <v>157</v>
      </c>
      <c r="C6" s="123">
        <v>41</v>
      </c>
      <c r="D6" s="123" t="s">
        <v>589</v>
      </c>
      <c r="E6" s="123">
        <v>1</v>
      </c>
      <c r="F6" s="152">
        <v>0</v>
      </c>
      <c r="G6" s="152">
        <v>1</v>
      </c>
      <c r="H6" s="123">
        <f t="shared" si="0"/>
        <v>2</v>
      </c>
    </row>
    <row r="7" spans="1:8">
      <c r="A7" s="91">
        <v>4</v>
      </c>
      <c r="B7" s="122" t="s">
        <v>167</v>
      </c>
      <c r="C7" s="123">
        <v>42</v>
      </c>
      <c r="D7" s="123" t="s">
        <v>590</v>
      </c>
      <c r="E7" s="123">
        <v>1</v>
      </c>
      <c r="F7" s="124">
        <v>0</v>
      </c>
      <c r="G7" s="124">
        <v>0</v>
      </c>
      <c r="H7" s="123">
        <f t="shared" si="0"/>
        <v>1</v>
      </c>
    </row>
    <row r="8" spans="1:8">
      <c r="A8" s="91">
        <v>5</v>
      </c>
      <c r="B8" s="122" t="s">
        <v>591</v>
      </c>
      <c r="C8" s="123">
        <v>40</v>
      </c>
      <c r="D8" s="123" t="s">
        <v>589</v>
      </c>
      <c r="E8" s="123">
        <v>1</v>
      </c>
      <c r="F8" s="124">
        <v>0</v>
      </c>
      <c r="G8" s="124">
        <v>1</v>
      </c>
      <c r="H8" s="123">
        <f t="shared" si="0"/>
        <v>2</v>
      </c>
    </row>
    <row r="9" spans="1:8">
      <c r="A9" s="91">
        <v>6</v>
      </c>
      <c r="B9" s="122" t="s">
        <v>83</v>
      </c>
      <c r="C9" s="123">
        <v>41</v>
      </c>
      <c r="D9" s="123" t="s">
        <v>588</v>
      </c>
      <c r="E9" s="123">
        <v>1</v>
      </c>
      <c r="F9" s="133">
        <v>1</v>
      </c>
      <c r="G9" s="133">
        <v>0</v>
      </c>
      <c r="H9" s="123">
        <f t="shared" si="0"/>
        <v>2</v>
      </c>
    </row>
    <row r="10" spans="1:8">
      <c r="A10" s="91">
        <v>7</v>
      </c>
      <c r="B10" s="122" t="s">
        <v>189</v>
      </c>
      <c r="C10" s="123">
        <v>41</v>
      </c>
      <c r="D10" s="123" t="s">
        <v>590</v>
      </c>
      <c r="E10" s="123">
        <v>1</v>
      </c>
      <c r="F10" s="124">
        <v>0</v>
      </c>
      <c r="G10" s="124">
        <v>1</v>
      </c>
      <c r="H10" s="123">
        <f t="shared" si="0"/>
        <v>2</v>
      </c>
    </row>
    <row r="11" spans="1:8">
      <c r="A11" s="91">
        <v>8</v>
      </c>
      <c r="B11" s="122" t="s">
        <v>30</v>
      </c>
      <c r="C11" s="123">
        <v>37</v>
      </c>
      <c r="D11" s="124" t="s">
        <v>589</v>
      </c>
      <c r="E11" s="123">
        <v>1</v>
      </c>
      <c r="F11" s="123">
        <v>1</v>
      </c>
      <c r="G11" s="123">
        <v>0</v>
      </c>
      <c r="H11" s="123">
        <f t="shared" si="0"/>
        <v>2</v>
      </c>
    </row>
    <row r="12" spans="1:8">
      <c r="A12" s="91">
        <v>9</v>
      </c>
      <c r="B12" s="122" t="s">
        <v>362</v>
      </c>
      <c r="C12" s="123">
        <v>39</v>
      </c>
      <c r="D12" s="123" t="s">
        <v>590</v>
      </c>
      <c r="E12" s="123">
        <v>1</v>
      </c>
      <c r="F12" s="133">
        <v>1</v>
      </c>
      <c r="G12" s="133">
        <v>0</v>
      </c>
      <c r="H12" s="123">
        <f t="shared" si="0"/>
        <v>2</v>
      </c>
    </row>
    <row r="13" spans="1:8">
      <c r="A13" s="91">
        <v>10</v>
      </c>
      <c r="B13" s="122" t="s">
        <v>117</v>
      </c>
      <c r="C13" s="123">
        <v>42</v>
      </c>
      <c r="D13" s="123" t="s">
        <v>590</v>
      </c>
      <c r="E13" s="123">
        <v>1</v>
      </c>
      <c r="F13" s="133">
        <v>1</v>
      </c>
      <c r="G13" s="133">
        <v>0</v>
      </c>
      <c r="H13" s="123">
        <f t="shared" si="0"/>
        <v>2</v>
      </c>
    </row>
    <row r="14" spans="1:8">
      <c r="A14" s="91">
        <v>11</v>
      </c>
      <c r="B14" s="122" t="s">
        <v>17</v>
      </c>
      <c r="C14" s="133">
        <v>42</v>
      </c>
      <c r="D14" s="133" t="s">
        <v>588</v>
      </c>
      <c r="E14" s="123">
        <v>1</v>
      </c>
      <c r="F14" s="124">
        <v>1</v>
      </c>
      <c r="G14" s="124">
        <v>0</v>
      </c>
      <c r="H14" s="123">
        <f t="shared" si="0"/>
        <v>2</v>
      </c>
    </row>
    <row r="15" spans="1:8">
      <c r="A15" s="91">
        <v>12</v>
      </c>
      <c r="B15" s="122" t="s">
        <v>129</v>
      </c>
      <c r="C15" s="133">
        <v>36</v>
      </c>
      <c r="D15" s="133" t="s">
        <v>589</v>
      </c>
      <c r="E15" s="123">
        <v>1</v>
      </c>
      <c r="F15" s="133">
        <v>1</v>
      </c>
      <c r="G15" s="133">
        <v>0</v>
      </c>
      <c r="H15" s="123">
        <f t="shared" si="0"/>
        <v>2</v>
      </c>
    </row>
    <row r="16" spans="1:8">
      <c r="A16" s="91">
        <v>13</v>
      </c>
      <c r="B16" s="122" t="s">
        <v>199</v>
      </c>
      <c r="C16" s="123">
        <v>41</v>
      </c>
      <c r="D16" s="123" t="s">
        <v>590</v>
      </c>
      <c r="E16" s="123">
        <v>1</v>
      </c>
      <c r="F16" s="124">
        <v>0</v>
      </c>
      <c r="G16" s="124">
        <v>1</v>
      </c>
      <c r="H16" s="123">
        <f t="shared" si="0"/>
        <v>2</v>
      </c>
    </row>
    <row r="17" spans="1:8">
      <c r="A17" s="91">
        <v>14</v>
      </c>
      <c r="B17" s="122" t="s">
        <v>381</v>
      </c>
      <c r="C17" s="123">
        <v>38</v>
      </c>
      <c r="D17" s="123" t="s">
        <v>590</v>
      </c>
      <c r="E17" s="123">
        <v>1</v>
      </c>
      <c r="F17" s="124">
        <v>0</v>
      </c>
      <c r="G17" s="124">
        <v>0</v>
      </c>
      <c r="H17" s="123">
        <f t="shared" si="0"/>
        <v>1</v>
      </c>
    </row>
    <row r="18" spans="1:8">
      <c r="A18" s="91">
        <v>15</v>
      </c>
      <c r="B18" s="122" t="s">
        <v>209</v>
      </c>
      <c r="C18" s="123">
        <v>40</v>
      </c>
      <c r="D18" s="123" t="s">
        <v>590</v>
      </c>
      <c r="E18" s="123">
        <v>1</v>
      </c>
      <c r="F18" s="124">
        <v>0</v>
      </c>
      <c r="G18" s="124">
        <v>1</v>
      </c>
      <c r="H18" s="123">
        <f t="shared" si="0"/>
        <v>2</v>
      </c>
    </row>
    <row r="19" spans="1:8">
      <c r="A19" s="91">
        <v>16</v>
      </c>
      <c r="B19" s="122" t="s">
        <v>592</v>
      </c>
      <c r="C19" s="123"/>
      <c r="D19" s="123" t="s">
        <v>593</v>
      </c>
      <c r="E19" s="123">
        <v>1</v>
      </c>
      <c r="F19" s="124">
        <v>1</v>
      </c>
      <c r="G19" s="124">
        <v>0</v>
      </c>
      <c r="H19" s="123">
        <f t="shared" si="0"/>
        <v>2</v>
      </c>
    </row>
    <row r="20" spans="1:8">
      <c r="A20" s="91">
        <v>17</v>
      </c>
      <c r="B20" s="122" t="s">
        <v>218</v>
      </c>
      <c r="C20" s="123">
        <v>43</v>
      </c>
      <c r="D20" s="123" t="s">
        <v>588</v>
      </c>
      <c r="E20" s="123">
        <v>1</v>
      </c>
      <c r="F20" s="124">
        <v>0</v>
      </c>
      <c r="G20" s="124">
        <v>1</v>
      </c>
      <c r="H20" s="123">
        <f t="shared" si="0"/>
        <v>2</v>
      </c>
    </row>
    <row r="21" spans="1:8">
      <c r="A21" s="91">
        <v>18</v>
      </c>
      <c r="B21" s="122" t="s">
        <v>226</v>
      </c>
      <c r="C21" s="123">
        <v>46</v>
      </c>
      <c r="D21" s="123" t="s">
        <v>590</v>
      </c>
      <c r="E21" s="123">
        <v>1</v>
      </c>
      <c r="F21" s="124">
        <v>0</v>
      </c>
      <c r="G21" s="124">
        <v>1</v>
      </c>
      <c r="H21" s="123">
        <f t="shared" si="0"/>
        <v>2</v>
      </c>
    </row>
    <row r="22" spans="1:8">
      <c r="A22" s="91">
        <v>19</v>
      </c>
      <c r="B22" s="122" t="s">
        <v>42</v>
      </c>
      <c r="C22" s="123">
        <v>43</v>
      </c>
      <c r="D22" s="123" t="s">
        <v>589</v>
      </c>
      <c r="E22" s="123">
        <v>1</v>
      </c>
      <c r="F22" s="124">
        <v>0</v>
      </c>
      <c r="G22" s="124">
        <v>0</v>
      </c>
      <c r="H22" s="123">
        <f t="shared" si="0"/>
        <v>1</v>
      </c>
    </row>
    <row r="23" spans="1:8">
      <c r="A23" s="91">
        <v>20</v>
      </c>
      <c r="B23" s="122" t="s">
        <v>409</v>
      </c>
      <c r="C23" s="123">
        <v>45</v>
      </c>
      <c r="D23" s="123" t="s">
        <v>588</v>
      </c>
      <c r="E23" s="123">
        <v>1</v>
      </c>
      <c r="F23" s="124">
        <v>1</v>
      </c>
      <c r="G23" s="124">
        <v>0</v>
      </c>
      <c r="H23" s="123">
        <f t="shared" si="0"/>
        <v>2</v>
      </c>
    </row>
    <row r="24" spans="1:8">
      <c r="A24" s="91">
        <v>21</v>
      </c>
      <c r="B24" s="122" t="s">
        <v>53</v>
      </c>
      <c r="C24" s="123">
        <v>42</v>
      </c>
      <c r="D24" s="123" t="s">
        <v>590</v>
      </c>
      <c r="E24" s="123">
        <v>1</v>
      </c>
      <c r="F24" s="133">
        <v>1</v>
      </c>
      <c r="G24" s="133">
        <v>0</v>
      </c>
      <c r="H24" s="123">
        <f t="shared" si="0"/>
        <v>2</v>
      </c>
    </row>
    <row r="25" spans="1:8">
      <c r="A25" s="91">
        <v>22</v>
      </c>
      <c r="B25" s="122" t="s">
        <v>234</v>
      </c>
      <c r="C25" s="123">
        <v>45</v>
      </c>
      <c r="D25" s="123" t="s">
        <v>588</v>
      </c>
      <c r="E25" s="123">
        <v>1</v>
      </c>
      <c r="F25" s="124">
        <v>0</v>
      </c>
      <c r="G25" s="124">
        <v>1</v>
      </c>
      <c r="H25" s="123">
        <f t="shared" si="0"/>
        <v>2</v>
      </c>
    </row>
    <row r="26" spans="1:8">
      <c r="A26" s="91">
        <v>23</v>
      </c>
      <c r="B26" s="122" t="s">
        <v>94</v>
      </c>
      <c r="C26" s="133">
        <v>42</v>
      </c>
      <c r="D26" s="123" t="s">
        <v>593</v>
      </c>
      <c r="E26" s="123">
        <v>1</v>
      </c>
      <c r="F26" s="133">
        <v>1</v>
      </c>
      <c r="G26" s="133">
        <v>0</v>
      </c>
      <c r="H26" s="123">
        <f t="shared" si="0"/>
        <v>2</v>
      </c>
    </row>
    <row r="27" spans="1:8">
      <c r="A27" s="91">
        <v>24</v>
      </c>
      <c r="B27" s="122" t="s">
        <v>243</v>
      </c>
      <c r="C27" s="123">
        <v>39</v>
      </c>
      <c r="D27" s="123" t="s">
        <v>589</v>
      </c>
      <c r="E27" s="123">
        <v>1</v>
      </c>
      <c r="F27" s="124">
        <v>0</v>
      </c>
      <c r="G27" s="124">
        <v>1</v>
      </c>
      <c r="H27" s="123">
        <f t="shared" si="0"/>
        <v>2</v>
      </c>
    </row>
    <row r="28" spans="1:8">
      <c r="A28" s="91">
        <v>25</v>
      </c>
      <c r="B28" s="122" t="s">
        <v>251</v>
      </c>
      <c r="C28" s="123">
        <v>40</v>
      </c>
      <c r="D28" s="123" t="s">
        <v>590</v>
      </c>
      <c r="E28" s="123">
        <v>1</v>
      </c>
      <c r="F28" s="124">
        <v>0</v>
      </c>
      <c r="G28" s="124">
        <v>1</v>
      </c>
      <c r="H28" s="123">
        <f t="shared" si="0"/>
        <v>2</v>
      </c>
    </row>
    <row r="29" spans="1:8">
      <c r="A29" s="91">
        <v>26</v>
      </c>
      <c r="B29" s="122" t="s">
        <v>390</v>
      </c>
      <c r="C29" s="123">
        <v>42</v>
      </c>
      <c r="D29" s="123" t="s">
        <v>590</v>
      </c>
      <c r="E29" s="123">
        <v>1</v>
      </c>
      <c r="F29" s="124">
        <v>0</v>
      </c>
      <c r="G29" s="124">
        <v>1</v>
      </c>
      <c r="H29" s="123">
        <f t="shared" si="0"/>
        <v>2</v>
      </c>
    </row>
    <row r="30" spans="1:8">
      <c r="A30" s="91">
        <v>27</v>
      </c>
      <c r="B30" s="122" t="s">
        <v>450</v>
      </c>
      <c r="C30" s="123">
        <v>38</v>
      </c>
      <c r="D30" s="124" t="s">
        <v>590</v>
      </c>
      <c r="E30" s="123">
        <v>1</v>
      </c>
      <c r="F30" s="123">
        <v>1</v>
      </c>
      <c r="G30" s="123">
        <v>0</v>
      </c>
      <c r="H30" s="123">
        <f t="shared" si="0"/>
        <v>2</v>
      </c>
    </row>
    <row r="31" spans="1:8">
      <c r="A31" s="91">
        <v>28</v>
      </c>
      <c r="B31" s="122" t="s">
        <v>260</v>
      </c>
      <c r="C31" s="123">
        <v>43</v>
      </c>
      <c r="D31" s="123" t="s">
        <v>588</v>
      </c>
      <c r="E31" s="123">
        <v>1</v>
      </c>
      <c r="F31" s="124">
        <v>0</v>
      </c>
      <c r="G31" s="124">
        <v>1</v>
      </c>
      <c r="H31" s="123">
        <f t="shared" si="0"/>
        <v>2</v>
      </c>
    </row>
    <row r="32" spans="1:8">
      <c r="A32" s="91">
        <v>29</v>
      </c>
      <c r="B32" s="122" t="s">
        <v>267</v>
      </c>
      <c r="C32" s="123">
        <v>44</v>
      </c>
      <c r="D32" s="123" t="s">
        <v>588</v>
      </c>
      <c r="E32" s="123">
        <v>1</v>
      </c>
      <c r="F32" s="124">
        <v>0</v>
      </c>
      <c r="G32" s="124">
        <v>1</v>
      </c>
      <c r="H32" s="123">
        <f t="shared" si="0"/>
        <v>2</v>
      </c>
    </row>
    <row r="33" spans="1:8">
      <c r="A33" s="91">
        <v>30</v>
      </c>
      <c r="B33" s="161" t="s">
        <v>105</v>
      </c>
      <c r="C33" s="123"/>
      <c r="D33" s="124" t="s">
        <v>588</v>
      </c>
      <c r="E33" s="123">
        <v>1</v>
      </c>
      <c r="F33" s="123">
        <v>1</v>
      </c>
      <c r="G33" s="123">
        <v>0</v>
      </c>
      <c r="H33" s="123">
        <f t="shared" si="0"/>
        <v>2</v>
      </c>
    </row>
    <row r="34" spans="5:7">
      <c r="E34" s="49">
        <f>SUM(E4:E33)</f>
        <v>30</v>
      </c>
      <c r="F34" s="49">
        <f>SUM(F4:F33)</f>
        <v>12</v>
      </c>
      <c r="G34" s="49">
        <f>SUM(G4:G33)</f>
        <v>14</v>
      </c>
    </row>
  </sheetData>
  <pageMargins left="0.708661417322835" right="0.708661417322835" top="0.748031496062992" bottom="0.748031496062992" header="0.31496062992126" footer="0.31496062992126"/>
  <pageSetup paperSize="9" scale="9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6"/>
  <sheetViews>
    <sheetView topLeftCell="A4" workbookViewId="0">
      <selection activeCell="D14" sqref="D14"/>
    </sheetView>
  </sheetViews>
  <sheetFormatPr defaultColWidth="9" defaultRowHeight="14.4" outlineLevelCol="4"/>
  <cols>
    <col min="1" max="1" width="33.5462962962963" customWidth="1"/>
    <col min="2" max="2" width="29.2685185185185" customWidth="1"/>
    <col min="3" max="3" width="25.4537037037037" customWidth="1"/>
    <col min="4" max="4" width="20.7222222222222" style="49" customWidth="1"/>
    <col min="5" max="5" width="19.8148148148148" customWidth="1"/>
    <col min="6" max="6" width="14.5462962962963" customWidth="1"/>
  </cols>
  <sheetData>
    <row r="3" s="49" customFormat="1" spans="1:4">
      <c r="A3" s="149" t="s">
        <v>457</v>
      </c>
      <c r="B3" s="149" t="s">
        <v>594</v>
      </c>
      <c r="C3" s="149" t="s">
        <v>595</v>
      </c>
      <c r="D3" s="149" t="s">
        <v>596</v>
      </c>
    </row>
    <row r="4" spans="1:4">
      <c r="A4" s="91" t="s">
        <v>465</v>
      </c>
      <c r="B4" s="124" t="s">
        <v>467</v>
      </c>
      <c r="C4" s="124"/>
      <c r="D4" s="270" t="s">
        <v>597</v>
      </c>
    </row>
    <row r="5" spans="1:4">
      <c r="A5" s="91" t="s">
        <v>478</v>
      </c>
      <c r="B5" s="124" t="s">
        <v>467</v>
      </c>
      <c r="C5" s="124" t="s">
        <v>598</v>
      </c>
      <c r="D5" s="270" t="s">
        <v>102</v>
      </c>
    </row>
    <row r="6" spans="1:4">
      <c r="A6" s="151" t="s">
        <v>469</v>
      </c>
      <c r="B6" s="133" t="s">
        <v>471</v>
      </c>
      <c r="C6" s="152" t="s">
        <v>599</v>
      </c>
      <c r="D6" s="270" t="s">
        <v>368</v>
      </c>
    </row>
    <row r="7" spans="1:4">
      <c r="A7" s="91" t="s">
        <v>600</v>
      </c>
      <c r="D7" s="270" t="s">
        <v>304</v>
      </c>
    </row>
    <row r="8" spans="1:4">
      <c r="A8" s="151" t="s">
        <v>486</v>
      </c>
      <c r="B8" s="152" t="s">
        <v>496</v>
      </c>
      <c r="C8" s="152" t="s">
        <v>601</v>
      </c>
      <c r="D8" s="270" t="s">
        <v>407</v>
      </c>
    </row>
    <row r="9" spans="1:4">
      <c r="A9" s="91" t="s">
        <v>602</v>
      </c>
      <c r="B9" s="124" t="s">
        <v>481</v>
      </c>
      <c r="C9" s="124" t="s">
        <v>603</v>
      </c>
      <c r="D9" s="270" t="s">
        <v>482</v>
      </c>
    </row>
    <row r="10" spans="1:4">
      <c r="A10" s="91" t="s">
        <v>484</v>
      </c>
      <c r="B10" s="124" t="s">
        <v>485</v>
      </c>
      <c r="C10" s="124" t="s">
        <v>604</v>
      </c>
      <c r="D10" s="270" t="s">
        <v>39</v>
      </c>
    </row>
    <row r="11" spans="1:4">
      <c r="A11" s="153"/>
      <c r="B11" s="153"/>
      <c r="C11" s="153"/>
      <c r="D11" s="154"/>
    </row>
    <row r="12" spans="1:4">
      <c r="A12" s="91" t="s">
        <v>605</v>
      </c>
      <c r="B12" s="152" t="s">
        <v>606</v>
      </c>
      <c r="C12" s="152"/>
      <c r="D12" s="270" t="s">
        <v>607</v>
      </c>
    </row>
    <row r="13" spans="1:5">
      <c r="A13" s="155" t="s">
        <v>608</v>
      </c>
      <c r="B13" s="156" t="s">
        <v>606</v>
      </c>
      <c r="C13" s="156"/>
      <c r="D13" s="273" t="s">
        <v>609</v>
      </c>
      <c r="E13" t="s">
        <v>610</v>
      </c>
    </row>
    <row r="14" spans="1:4">
      <c r="A14" s="151" t="s">
        <v>608</v>
      </c>
      <c r="B14" s="124" t="s">
        <v>611</v>
      </c>
      <c r="C14" s="124" t="s">
        <v>612</v>
      </c>
      <c r="D14" s="133"/>
    </row>
    <row r="15" spans="1:4">
      <c r="A15" s="91" t="s">
        <v>613</v>
      </c>
      <c r="B15" s="152" t="s">
        <v>606</v>
      </c>
      <c r="C15" s="152"/>
      <c r="D15" s="270" t="s">
        <v>614</v>
      </c>
    </row>
    <row r="16" spans="1:4">
      <c r="A16" s="91" t="s">
        <v>615</v>
      </c>
      <c r="B16" s="124" t="s">
        <v>616</v>
      </c>
      <c r="C16" s="124" t="s">
        <v>617</v>
      </c>
      <c r="D16" s="274" t="s">
        <v>618</v>
      </c>
    </row>
    <row r="17" spans="1:4">
      <c r="A17" s="91" t="s">
        <v>619</v>
      </c>
      <c r="B17" s="123" t="s">
        <v>620</v>
      </c>
      <c r="C17" s="91"/>
      <c r="D17" s="270" t="s">
        <v>621</v>
      </c>
    </row>
    <row r="18" spans="1:4">
      <c r="A18" s="91" t="s">
        <v>561</v>
      </c>
      <c r="B18" s="123" t="s">
        <v>622</v>
      </c>
      <c r="C18" s="91"/>
      <c r="D18" s="123"/>
    </row>
    <row r="19" spans="1:4">
      <c r="A19" s="151" t="s">
        <v>623</v>
      </c>
      <c r="B19" s="123" t="s">
        <v>624</v>
      </c>
      <c r="C19" s="123" t="s">
        <v>625</v>
      </c>
      <c r="D19" s="270" t="s">
        <v>493</v>
      </c>
    </row>
    <row r="20" spans="1:4">
      <c r="A20" s="151" t="s">
        <v>568</v>
      </c>
      <c r="B20" s="123" t="s">
        <v>624</v>
      </c>
      <c r="C20" s="123" t="s">
        <v>626</v>
      </c>
      <c r="D20" s="123"/>
    </row>
    <row r="21" spans="1:4">
      <c r="A21" s="147" t="s">
        <v>627</v>
      </c>
      <c r="B21" s="123" t="s">
        <v>624</v>
      </c>
      <c r="C21" s="124" t="s">
        <v>628</v>
      </c>
      <c r="D21" s="123"/>
    </row>
    <row r="22" spans="1:4">
      <c r="A22" s="147" t="s">
        <v>629</v>
      </c>
      <c r="B22" s="124" t="s">
        <v>630</v>
      </c>
      <c r="C22" s="124" t="s">
        <v>631</v>
      </c>
      <c r="D22" s="123"/>
    </row>
    <row r="23" spans="1:4">
      <c r="A23" s="147"/>
      <c r="D23" s="123"/>
    </row>
    <row r="24" spans="1:4">
      <c r="A24" s="91"/>
      <c r="B24" s="91"/>
      <c r="C24" s="91"/>
      <c r="D24" s="123"/>
    </row>
    <row r="25" spans="1:4">
      <c r="A25" s="91"/>
      <c r="B25" s="91"/>
      <c r="C25" s="91"/>
      <c r="D25" s="123"/>
    </row>
    <row r="26" spans="1:4">
      <c r="A26" s="91"/>
      <c r="B26" s="91"/>
      <c r="C26" s="91"/>
      <c r="D26" s="123"/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"/>
  <sheetViews>
    <sheetView zoomScale="63" zoomScaleNormal="63" workbookViewId="0">
      <selection activeCell="Q22" sqref="Q22"/>
    </sheetView>
  </sheetViews>
  <sheetFormatPr defaultColWidth="9" defaultRowHeight="14.4"/>
  <cols>
    <col min="1" max="1" width="2.90740740740741" customWidth="1"/>
    <col min="2" max="2" width="29.2685185185185" customWidth="1"/>
    <col min="3" max="3" width="20.9074074074074" customWidth="1"/>
    <col min="4" max="4" width="17.2685185185185" style="49" customWidth="1"/>
    <col min="5" max="5" width="13.2685185185185" customWidth="1"/>
    <col min="6" max="6" width="23.7222222222222" customWidth="1"/>
    <col min="7" max="7" width="9.81481481481481" customWidth="1"/>
    <col min="8" max="8" width="11.0925925925926" style="49" customWidth="1"/>
    <col min="10" max="10" width="31.1759259259259" customWidth="1"/>
    <col min="11" max="11" width="12.6296296296296" customWidth="1"/>
    <col min="12" max="12" width="17.6296296296296" customWidth="1"/>
  </cols>
  <sheetData>
    <row r="1" spans="1:8">
      <c r="A1" s="91"/>
      <c r="B1" s="128" t="s">
        <v>0</v>
      </c>
      <c r="C1" s="91"/>
      <c r="D1" s="123"/>
      <c r="E1" s="91"/>
      <c r="F1" s="91"/>
      <c r="G1" s="91"/>
      <c r="H1" s="123"/>
    </row>
    <row r="2" spans="1:12">
      <c r="A2" s="91"/>
      <c r="B2" s="129" t="s">
        <v>632</v>
      </c>
      <c r="C2" s="91"/>
      <c r="D2" s="123"/>
      <c r="E2" s="91"/>
      <c r="F2" s="91"/>
      <c r="G2" s="91"/>
      <c r="H2" s="123"/>
      <c r="J2" s="145" t="s">
        <v>633</v>
      </c>
      <c r="K2" s="145"/>
      <c r="L2" s="145"/>
    </row>
    <row r="3" s="127" customFormat="1" spans="1:12">
      <c r="A3" s="130"/>
      <c r="B3" s="130" t="s">
        <v>2</v>
      </c>
      <c r="C3" s="130" t="s">
        <v>634</v>
      </c>
      <c r="D3" s="130" t="s">
        <v>635</v>
      </c>
      <c r="E3" s="130" t="s">
        <v>636</v>
      </c>
      <c r="F3" s="130" t="s">
        <v>637</v>
      </c>
      <c r="G3" s="130" t="s">
        <v>638</v>
      </c>
      <c r="H3" s="130" t="s">
        <v>587</v>
      </c>
      <c r="J3" s="146" t="s">
        <v>639</v>
      </c>
      <c r="K3" s="123">
        <v>1000</v>
      </c>
      <c r="L3" s="124" t="s">
        <v>640</v>
      </c>
    </row>
    <row r="4" s="49" customFormat="1" spans="1:12">
      <c r="A4" s="123">
        <v>1</v>
      </c>
      <c r="B4" s="131" t="s">
        <v>371</v>
      </c>
      <c r="C4" s="132">
        <v>0</v>
      </c>
      <c r="D4" s="132">
        <v>0</v>
      </c>
      <c r="E4" s="132">
        <v>0</v>
      </c>
      <c r="F4" s="132">
        <v>0</v>
      </c>
      <c r="G4" s="132">
        <v>0</v>
      </c>
      <c r="H4" s="132">
        <v>0</v>
      </c>
      <c r="J4" s="147" t="s">
        <v>641</v>
      </c>
      <c r="K4" s="123">
        <v>1000</v>
      </c>
      <c r="L4" s="124" t="s">
        <v>640</v>
      </c>
    </row>
    <row r="5" spans="1:12">
      <c r="A5" s="91">
        <v>2</v>
      </c>
      <c r="B5" s="122" t="s">
        <v>146</v>
      </c>
      <c r="C5" s="123">
        <v>3000</v>
      </c>
      <c r="D5" s="133">
        <v>1200</v>
      </c>
      <c r="E5" s="123">
        <v>600</v>
      </c>
      <c r="F5" s="123">
        <v>3500</v>
      </c>
      <c r="G5" s="123">
        <v>6000</v>
      </c>
      <c r="H5" s="123">
        <f t="shared" ref="H5:H37" si="0">SUM(C5:G5)</f>
        <v>14300</v>
      </c>
      <c r="J5" s="146" t="s">
        <v>642</v>
      </c>
      <c r="K5" s="123">
        <v>1000</v>
      </c>
      <c r="L5" s="124" t="s">
        <v>640</v>
      </c>
    </row>
    <row r="6" spans="1:12">
      <c r="A6" s="91">
        <v>3</v>
      </c>
      <c r="B6" s="122" t="s">
        <v>157</v>
      </c>
      <c r="C6" s="123">
        <v>3000</v>
      </c>
      <c r="D6" s="133">
        <v>1200</v>
      </c>
      <c r="E6" s="123">
        <v>600</v>
      </c>
      <c r="F6" s="123">
        <v>3500</v>
      </c>
      <c r="G6" s="123">
        <v>6000</v>
      </c>
      <c r="H6" s="123">
        <f t="shared" si="0"/>
        <v>14300</v>
      </c>
      <c r="J6" s="146" t="s">
        <v>643</v>
      </c>
      <c r="K6" s="123">
        <v>500</v>
      </c>
      <c r="L6" s="124" t="s">
        <v>640</v>
      </c>
    </row>
    <row r="7" spans="1:12">
      <c r="A7" s="91">
        <v>4</v>
      </c>
      <c r="B7" s="122" t="s">
        <v>167</v>
      </c>
      <c r="C7" s="123">
        <v>3000</v>
      </c>
      <c r="D7" s="133">
        <v>1200</v>
      </c>
      <c r="E7" s="123">
        <v>600</v>
      </c>
      <c r="F7" s="123">
        <v>3500</v>
      </c>
      <c r="G7" s="123">
        <v>6000</v>
      </c>
      <c r="H7" s="123">
        <f t="shared" si="0"/>
        <v>14300</v>
      </c>
      <c r="J7" s="146" t="s">
        <v>644</v>
      </c>
      <c r="K7" s="123">
        <v>1000</v>
      </c>
      <c r="L7" s="124" t="s">
        <v>640</v>
      </c>
    </row>
    <row r="8" spans="1:12">
      <c r="A8" s="91">
        <v>5</v>
      </c>
      <c r="B8" s="122" t="s">
        <v>178</v>
      </c>
      <c r="C8" s="123">
        <v>3000</v>
      </c>
      <c r="D8" s="133">
        <v>1200</v>
      </c>
      <c r="E8" s="123">
        <v>600</v>
      </c>
      <c r="F8" s="123">
        <v>3500</v>
      </c>
      <c r="G8" s="123">
        <v>6000</v>
      </c>
      <c r="H8" s="123">
        <f t="shared" si="0"/>
        <v>14300</v>
      </c>
      <c r="J8" s="146" t="s">
        <v>645</v>
      </c>
      <c r="K8" s="123">
        <v>500</v>
      </c>
      <c r="L8" s="124" t="s">
        <v>640</v>
      </c>
    </row>
    <row r="9" spans="1:12">
      <c r="A9" s="91">
        <v>6</v>
      </c>
      <c r="B9" s="122" t="s">
        <v>646</v>
      </c>
      <c r="C9" s="123">
        <v>3000</v>
      </c>
      <c r="D9" s="133">
        <v>1200</v>
      </c>
      <c r="E9" s="123">
        <v>600</v>
      </c>
      <c r="F9" s="123">
        <v>3500</v>
      </c>
      <c r="G9" s="123">
        <v>6000</v>
      </c>
      <c r="H9" s="123">
        <f t="shared" si="0"/>
        <v>14300</v>
      </c>
      <c r="J9" s="146" t="s">
        <v>647</v>
      </c>
      <c r="K9" s="123">
        <v>500</v>
      </c>
      <c r="L9" s="124" t="s">
        <v>640</v>
      </c>
    </row>
    <row r="10" spans="1:12">
      <c r="A10" s="91">
        <v>7</v>
      </c>
      <c r="B10" s="122" t="s">
        <v>189</v>
      </c>
      <c r="C10" s="123">
        <v>3000</v>
      </c>
      <c r="D10" s="133">
        <v>1200</v>
      </c>
      <c r="E10" s="123">
        <v>600</v>
      </c>
      <c r="F10" s="123">
        <v>3500</v>
      </c>
      <c r="G10" s="123">
        <v>6000</v>
      </c>
      <c r="H10" s="123">
        <f t="shared" si="0"/>
        <v>14300</v>
      </c>
      <c r="J10" s="146" t="s">
        <v>648</v>
      </c>
      <c r="K10" s="123">
        <v>500</v>
      </c>
      <c r="L10" s="124" t="s">
        <v>640</v>
      </c>
    </row>
    <row r="11" spans="1:12">
      <c r="A11" s="91">
        <v>8</v>
      </c>
      <c r="B11" s="122" t="s">
        <v>30</v>
      </c>
      <c r="C11" s="123">
        <v>3000</v>
      </c>
      <c r="D11" s="133">
        <v>1200</v>
      </c>
      <c r="E11" s="123">
        <v>600</v>
      </c>
      <c r="F11" s="123">
        <v>3500</v>
      </c>
      <c r="G11" s="123">
        <v>6000</v>
      </c>
      <c r="H11" s="123">
        <f t="shared" si="0"/>
        <v>14300</v>
      </c>
      <c r="J11" s="146" t="s">
        <v>649</v>
      </c>
      <c r="K11" s="123">
        <v>500</v>
      </c>
      <c r="L11" s="124" t="s">
        <v>640</v>
      </c>
    </row>
    <row r="12" spans="1:12">
      <c r="A12" s="91">
        <v>9</v>
      </c>
      <c r="B12" s="134" t="s">
        <v>362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f t="shared" si="0"/>
        <v>0</v>
      </c>
      <c r="J12" s="148" t="s">
        <v>650</v>
      </c>
      <c r="K12" s="123">
        <v>500</v>
      </c>
      <c r="L12" s="124" t="s">
        <v>640</v>
      </c>
    </row>
    <row r="13" spans="1:12">
      <c r="A13" s="91">
        <v>10</v>
      </c>
      <c r="B13" s="122" t="s">
        <v>117</v>
      </c>
      <c r="C13" s="123">
        <v>3000</v>
      </c>
      <c r="D13" s="133">
        <v>1200</v>
      </c>
      <c r="E13" s="123">
        <v>600</v>
      </c>
      <c r="F13" s="123">
        <v>3500</v>
      </c>
      <c r="G13" s="123">
        <v>6000</v>
      </c>
      <c r="H13" s="123">
        <f t="shared" si="0"/>
        <v>14300</v>
      </c>
      <c r="J13" s="146" t="s">
        <v>651</v>
      </c>
      <c r="K13" s="123">
        <v>500</v>
      </c>
      <c r="L13" s="124" t="s">
        <v>640</v>
      </c>
    </row>
    <row r="14" spans="1:11">
      <c r="A14" s="91">
        <v>11</v>
      </c>
      <c r="B14" s="122" t="s">
        <v>17</v>
      </c>
      <c r="C14" s="123">
        <v>3000</v>
      </c>
      <c r="D14" s="133">
        <v>1200</v>
      </c>
      <c r="E14" s="123">
        <v>600</v>
      </c>
      <c r="F14" s="123">
        <v>3500</v>
      </c>
      <c r="G14" s="123">
        <v>6000</v>
      </c>
      <c r="H14" s="123">
        <f t="shared" si="0"/>
        <v>14300</v>
      </c>
      <c r="K14" s="125">
        <f>SUM(K3:K13)</f>
        <v>7500</v>
      </c>
    </row>
    <row r="15" spans="1:8">
      <c r="A15" s="91">
        <v>12</v>
      </c>
      <c r="B15" s="122" t="s">
        <v>129</v>
      </c>
      <c r="C15" s="123">
        <v>3000</v>
      </c>
      <c r="D15" s="133">
        <v>1200</v>
      </c>
      <c r="E15" s="123">
        <v>600</v>
      </c>
      <c r="F15" s="123">
        <v>3500</v>
      </c>
      <c r="G15" s="123">
        <v>6000</v>
      </c>
      <c r="H15" s="123">
        <f t="shared" si="0"/>
        <v>14300</v>
      </c>
    </row>
    <row r="16" spans="1:8">
      <c r="A16" s="91">
        <v>13</v>
      </c>
      <c r="B16" s="122" t="s">
        <v>199</v>
      </c>
      <c r="C16" s="123">
        <v>3000</v>
      </c>
      <c r="D16" s="133">
        <v>1200</v>
      </c>
      <c r="E16" s="123">
        <v>600</v>
      </c>
      <c r="F16" s="123">
        <v>3500</v>
      </c>
      <c r="G16" s="123">
        <v>6000</v>
      </c>
      <c r="H16" s="123">
        <f t="shared" si="0"/>
        <v>14300</v>
      </c>
    </row>
    <row r="17" spans="1:12">
      <c r="A17" s="91">
        <v>14</v>
      </c>
      <c r="B17" s="122" t="s">
        <v>381</v>
      </c>
      <c r="C17" s="123">
        <v>3000</v>
      </c>
      <c r="D17" s="133">
        <v>1200</v>
      </c>
      <c r="E17" s="123">
        <v>600</v>
      </c>
      <c r="F17" s="123">
        <v>3500</v>
      </c>
      <c r="G17" s="123">
        <v>6000</v>
      </c>
      <c r="H17" s="123">
        <f t="shared" si="0"/>
        <v>14300</v>
      </c>
      <c r="J17" s="91" t="s">
        <v>652</v>
      </c>
      <c r="K17" s="123">
        <v>3000</v>
      </c>
      <c r="L17" s="91"/>
    </row>
    <row r="18" spans="1:12">
      <c r="A18" s="91">
        <v>15</v>
      </c>
      <c r="B18" s="122" t="s">
        <v>209</v>
      </c>
      <c r="C18" s="123">
        <v>3000</v>
      </c>
      <c r="D18" s="133">
        <v>1200</v>
      </c>
      <c r="E18" s="123">
        <v>600</v>
      </c>
      <c r="F18" s="123">
        <v>3500</v>
      </c>
      <c r="G18" s="123">
        <v>6000</v>
      </c>
      <c r="H18" s="123">
        <f t="shared" si="0"/>
        <v>14300</v>
      </c>
      <c r="J18" s="91" t="s">
        <v>653</v>
      </c>
      <c r="K18" s="123">
        <v>5000</v>
      </c>
      <c r="L18" s="91"/>
    </row>
    <row r="19" spans="1:12">
      <c r="A19" s="91">
        <v>16</v>
      </c>
      <c r="B19" s="135" t="s">
        <v>654</v>
      </c>
      <c r="C19" s="136">
        <v>1500</v>
      </c>
      <c r="D19" s="136">
        <v>600</v>
      </c>
      <c r="E19" s="136">
        <v>600</v>
      </c>
      <c r="F19" s="136">
        <v>3500</v>
      </c>
      <c r="G19" s="136">
        <v>3000</v>
      </c>
      <c r="H19" s="136">
        <f t="shared" si="0"/>
        <v>9200</v>
      </c>
      <c r="J19" s="91" t="s">
        <v>655</v>
      </c>
      <c r="K19" s="123">
        <v>10000</v>
      </c>
      <c r="L19" s="91"/>
    </row>
    <row r="20" spans="1:12">
      <c r="A20" s="91">
        <v>17</v>
      </c>
      <c r="B20" s="122" t="s">
        <v>218</v>
      </c>
      <c r="C20" s="123">
        <v>3000</v>
      </c>
      <c r="D20" s="133">
        <v>1200</v>
      </c>
      <c r="E20" s="123">
        <v>600</v>
      </c>
      <c r="F20" s="123">
        <v>3500</v>
      </c>
      <c r="G20" s="123">
        <v>6000</v>
      </c>
      <c r="H20" s="123">
        <f t="shared" si="0"/>
        <v>14300</v>
      </c>
      <c r="J20" s="91" t="s">
        <v>656</v>
      </c>
      <c r="K20" s="123">
        <v>34000</v>
      </c>
      <c r="L20" s="91"/>
    </row>
    <row r="21" spans="1:12">
      <c r="A21" s="91">
        <v>18</v>
      </c>
      <c r="B21" s="122" t="s">
        <v>226</v>
      </c>
      <c r="C21" s="123">
        <v>3000</v>
      </c>
      <c r="D21" s="133">
        <v>1200</v>
      </c>
      <c r="E21" s="123">
        <v>600</v>
      </c>
      <c r="F21" s="123">
        <v>3500</v>
      </c>
      <c r="G21" s="123">
        <v>6000</v>
      </c>
      <c r="H21" s="123">
        <f t="shared" si="0"/>
        <v>14300</v>
      </c>
      <c r="J21" s="91" t="s">
        <v>657</v>
      </c>
      <c r="K21" s="123">
        <v>5000</v>
      </c>
      <c r="L21" s="91"/>
    </row>
    <row r="22" spans="1:12">
      <c r="A22" s="91">
        <v>19</v>
      </c>
      <c r="B22" s="122" t="s">
        <v>42</v>
      </c>
      <c r="C22" s="123">
        <v>3000</v>
      </c>
      <c r="D22" s="133">
        <v>1200</v>
      </c>
      <c r="E22" s="123">
        <v>600</v>
      </c>
      <c r="F22" s="123">
        <v>3500</v>
      </c>
      <c r="G22" s="123">
        <v>6000</v>
      </c>
      <c r="H22" s="123">
        <f t="shared" si="0"/>
        <v>14300</v>
      </c>
      <c r="L22" s="91"/>
    </row>
    <row r="23" spans="1:12">
      <c r="A23" s="91">
        <v>20</v>
      </c>
      <c r="B23" s="135" t="s">
        <v>409</v>
      </c>
      <c r="C23" s="136">
        <v>1500</v>
      </c>
      <c r="D23" s="136">
        <v>600</v>
      </c>
      <c r="E23" s="136">
        <v>600</v>
      </c>
      <c r="F23" s="136">
        <v>3500</v>
      </c>
      <c r="G23" s="136">
        <v>3000</v>
      </c>
      <c r="H23" s="136">
        <f t="shared" si="0"/>
        <v>9200</v>
      </c>
      <c r="J23" s="91"/>
      <c r="K23" s="149">
        <f>SUM(K17:K21)</f>
        <v>57000</v>
      </c>
      <c r="L23" s="91"/>
    </row>
    <row r="24" spans="1:8">
      <c r="A24" s="91">
        <v>21</v>
      </c>
      <c r="B24" s="122" t="s">
        <v>53</v>
      </c>
      <c r="C24" s="123">
        <v>3000</v>
      </c>
      <c r="D24" s="133">
        <v>1200</v>
      </c>
      <c r="E24" s="123">
        <v>600</v>
      </c>
      <c r="F24" s="123">
        <v>3500</v>
      </c>
      <c r="G24" s="123">
        <v>6000</v>
      </c>
      <c r="H24" s="123">
        <f t="shared" si="0"/>
        <v>14300</v>
      </c>
    </row>
    <row r="25" spans="1:12">
      <c r="A25" s="91">
        <v>22</v>
      </c>
      <c r="B25" s="122" t="s">
        <v>234</v>
      </c>
      <c r="C25" s="123">
        <v>3000</v>
      </c>
      <c r="D25" s="133">
        <v>1200</v>
      </c>
      <c r="E25" s="123">
        <v>600</v>
      </c>
      <c r="F25" s="123">
        <v>3500</v>
      </c>
      <c r="G25" s="123">
        <v>6000</v>
      </c>
      <c r="H25" s="123">
        <f t="shared" si="0"/>
        <v>14300</v>
      </c>
      <c r="J25" t="s">
        <v>658</v>
      </c>
      <c r="L25" t="s">
        <v>659</v>
      </c>
    </row>
    <row r="26" spans="1:8">
      <c r="A26" s="91">
        <v>23</v>
      </c>
      <c r="B26" s="122" t="s">
        <v>94</v>
      </c>
      <c r="C26" s="123">
        <v>3000</v>
      </c>
      <c r="D26" s="133">
        <v>1200</v>
      </c>
      <c r="E26" s="123">
        <v>600</v>
      </c>
      <c r="F26" s="123">
        <v>3500</v>
      </c>
      <c r="G26" s="123">
        <v>6000</v>
      </c>
      <c r="H26" s="123">
        <f t="shared" si="0"/>
        <v>14300</v>
      </c>
    </row>
    <row r="27" spans="1:12">
      <c r="A27" s="91">
        <v>24</v>
      </c>
      <c r="B27" s="122" t="s">
        <v>445</v>
      </c>
      <c r="C27" s="123">
        <v>3000</v>
      </c>
      <c r="D27" s="133">
        <v>1200</v>
      </c>
      <c r="E27" s="123">
        <v>600</v>
      </c>
      <c r="F27" s="123">
        <v>3500</v>
      </c>
      <c r="G27" s="123">
        <v>6000</v>
      </c>
      <c r="H27" s="123">
        <f t="shared" si="0"/>
        <v>14300</v>
      </c>
      <c r="J27" s="111" t="s">
        <v>660</v>
      </c>
      <c r="L27" s="111" t="s">
        <v>661</v>
      </c>
    </row>
    <row r="28" spans="1:12">
      <c r="A28" s="91">
        <v>25</v>
      </c>
      <c r="B28" s="135" t="s">
        <v>662</v>
      </c>
      <c r="C28" s="136">
        <v>1500</v>
      </c>
      <c r="D28" s="136">
        <v>600</v>
      </c>
      <c r="E28" s="136">
        <v>600</v>
      </c>
      <c r="F28" s="136">
        <v>3500</v>
      </c>
      <c r="G28" s="136">
        <v>3000</v>
      </c>
      <c r="H28" s="136">
        <f t="shared" si="0"/>
        <v>9200</v>
      </c>
      <c r="J28" t="s">
        <v>663</v>
      </c>
      <c r="L28" t="s">
        <v>664</v>
      </c>
    </row>
    <row r="29" spans="1:8">
      <c r="A29" s="91">
        <v>26</v>
      </c>
      <c r="B29" s="122" t="s">
        <v>251</v>
      </c>
      <c r="C29" s="123">
        <v>3000</v>
      </c>
      <c r="D29" s="133">
        <v>1200</v>
      </c>
      <c r="E29" s="123">
        <v>600</v>
      </c>
      <c r="F29" s="123">
        <v>3500</v>
      </c>
      <c r="G29" s="123">
        <v>6000</v>
      </c>
      <c r="H29" s="123">
        <f t="shared" si="0"/>
        <v>14300</v>
      </c>
    </row>
    <row r="30" spans="1:11">
      <c r="A30" s="91">
        <v>27</v>
      </c>
      <c r="B30" s="122" t="s">
        <v>390</v>
      </c>
      <c r="C30" s="123">
        <v>3000</v>
      </c>
      <c r="D30" s="133">
        <v>1200</v>
      </c>
      <c r="E30" s="123">
        <v>600</v>
      </c>
      <c r="F30" s="123">
        <v>3500</v>
      </c>
      <c r="G30" s="123">
        <v>6000</v>
      </c>
      <c r="H30" s="123">
        <f t="shared" si="0"/>
        <v>14300</v>
      </c>
      <c r="K30" s="86" t="s">
        <v>665</v>
      </c>
    </row>
    <row r="31" spans="1:11">
      <c r="A31" s="91">
        <v>28</v>
      </c>
      <c r="B31" s="122" t="s">
        <v>450</v>
      </c>
      <c r="C31" s="123">
        <v>3000</v>
      </c>
      <c r="D31" s="133">
        <v>1200</v>
      </c>
      <c r="E31" s="123">
        <v>600</v>
      </c>
      <c r="F31" s="123">
        <v>3500</v>
      </c>
      <c r="G31" s="123">
        <v>6000</v>
      </c>
      <c r="H31" s="123">
        <f t="shared" si="0"/>
        <v>14300</v>
      </c>
      <c r="K31" s="49"/>
    </row>
    <row r="32" spans="1:11">
      <c r="A32" s="91">
        <v>29</v>
      </c>
      <c r="B32" s="122" t="s">
        <v>260</v>
      </c>
      <c r="C32" s="123">
        <v>3000</v>
      </c>
      <c r="D32" s="133">
        <v>1200</v>
      </c>
      <c r="E32" s="123">
        <v>600</v>
      </c>
      <c r="F32" s="123">
        <v>3500</v>
      </c>
      <c r="G32" s="123">
        <v>6000</v>
      </c>
      <c r="H32" s="123">
        <f t="shared" si="0"/>
        <v>14300</v>
      </c>
      <c r="K32" s="125" t="s">
        <v>666</v>
      </c>
    </row>
    <row r="33" spans="1:11">
      <c r="A33" s="91">
        <v>30</v>
      </c>
      <c r="B33" s="122" t="s">
        <v>267</v>
      </c>
      <c r="C33" s="123">
        <v>3000</v>
      </c>
      <c r="D33" s="133">
        <v>1200</v>
      </c>
      <c r="E33" s="123">
        <v>600</v>
      </c>
      <c r="F33" s="123">
        <v>3500</v>
      </c>
      <c r="G33" s="123">
        <v>6000</v>
      </c>
      <c r="H33" s="123">
        <f t="shared" si="0"/>
        <v>14300</v>
      </c>
      <c r="K33" s="126" t="s">
        <v>18</v>
      </c>
    </row>
    <row r="34" spans="1:8">
      <c r="A34" s="91">
        <v>31</v>
      </c>
      <c r="B34" s="122" t="s">
        <v>667</v>
      </c>
      <c r="C34" s="123">
        <v>3000</v>
      </c>
      <c r="D34" s="133">
        <v>1200</v>
      </c>
      <c r="E34" s="123">
        <v>600</v>
      </c>
      <c r="F34" s="123">
        <v>3500</v>
      </c>
      <c r="G34" s="123">
        <v>6000</v>
      </c>
      <c r="H34" s="123">
        <f t="shared" si="0"/>
        <v>14300</v>
      </c>
    </row>
    <row r="35" ht="18" spans="1:11">
      <c r="A35" s="91">
        <v>32</v>
      </c>
      <c r="B35" s="137" t="s">
        <v>668</v>
      </c>
      <c r="C35" s="123">
        <v>3000</v>
      </c>
      <c r="D35" s="133">
        <v>1200</v>
      </c>
      <c r="E35" s="123">
        <v>600</v>
      </c>
      <c r="F35" s="123">
        <v>3500</v>
      </c>
      <c r="G35" s="123">
        <v>6000</v>
      </c>
      <c r="H35" s="123">
        <f t="shared" si="0"/>
        <v>14300</v>
      </c>
      <c r="J35" s="140" t="s">
        <v>669</v>
      </c>
      <c r="K35" s="150">
        <f>H37+K14+K23</f>
        <v>492500</v>
      </c>
    </row>
    <row r="36" spans="1:8">
      <c r="A36" s="91">
        <v>33</v>
      </c>
      <c r="B36" s="137" t="s">
        <v>670</v>
      </c>
      <c r="C36" s="123">
        <v>3000</v>
      </c>
      <c r="D36" s="133">
        <v>1200</v>
      </c>
      <c r="E36" s="123">
        <v>600</v>
      </c>
      <c r="F36" s="123">
        <v>3500</v>
      </c>
      <c r="G36" s="123">
        <v>6000</v>
      </c>
      <c r="H36" s="123">
        <f t="shared" si="0"/>
        <v>14300</v>
      </c>
    </row>
    <row r="37" spans="3:8">
      <c r="C37" s="125">
        <f>SUM(C4:C36)</f>
        <v>88500</v>
      </c>
      <c r="D37" s="125">
        <f>SUM(D4:D36)</f>
        <v>35400</v>
      </c>
      <c r="E37" s="125">
        <f>SUM(E4:E36)</f>
        <v>18600</v>
      </c>
      <c r="F37" s="125">
        <f>SUM(F4:F36)</f>
        <v>108500</v>
      </c>
      <c r="G37" s="125">
        <f>SUM(G4:G36)</f>
        <v>177000</v>
      </c>
      <c r="H37" s="138">
        <f t="shared" si="0"/>
        <v>428000</v>
      </c>
    </row>
    <row r="38" spans="3:8">
      <c r="C38" s="125"/>
      <c r="D38" s="125"/>
      <c r="E38" s="125"/>
      <c r="F38" s="125"/>
      <c r="G38" s="125"/>
      <c r="H38" s="139"/>
    </row>
    <row r="39" spans="3:8">
      <c r="C39" s="125"/>
      <c r="D39" s="125"/>
      <c r="E39" s="125"/>
      <c r="F39" s="125"/>
      <c r="G39" s="125"/>
      <c r="H39" s="139"/>
    </row>
    <row r="44" spans="2:2">
      <c r="B44" s="111"/>
    </row>
    <row r="45" spans="2:2">
      <c r="B45" s="140"/>
    </row>
    <row r="46" spans="2:2">
      <c r="B46" s="140"/>
    </row>
    <row r="47" spans="2:2">
      <c r="B47" s="86"/>
    </row>
    <row r="48" spans="2:2">
      <c r="B48" s="86"/>
    </row>
    <row r="49" spans="2:2">
      <c r="B49" s="86"/>
    </row>
    <row r="50" spans="2:9">
      <c r="B50" s="86"/>
      <c r="I50" s="111"/>
    </row>
    <row r="51" spans="2:2">
      <c r="B51" s="86"/>
    </row>
    <row r="52" spans="2:4">
      <c r="B52" s="86"/>
      <c r="D52" s="125"/>
    </row>
    <row r="54" spans="3:3">
      <c r="C54" s="141"/>
    </row>
    <row r="57" spans="2:3">
      <c r="B57" s="86"/>
      <c r="C57" s="49"/>
    </row>
    <row r="58" spans="2:3">
      <c r="B58" s="86"/>
      <c r="C58" s="49"/>
    </row>
    <row r="59" spans="2:3">
      <c r="B59" s="86"/>
      <c r="C59" s="142"/>
    </row>
    <row r="60" spans="4:4">
      <c r="D60" s="143"/>
    </row>
    <row r="62" spans="2:3">
      <c r="B62" s="140" t="s">
        <v>671</v>
      </c>
      <c r="C62" s="144">
        <v>575950</v>
      </c>
    </row>
    <row r="66" spans="2:2">
      <c r="B66" s="111"/>
    </row>
    <row r="67" spans="2:2">
      <c r="B67" s="141"/>
    </row>
    <row r="68" spans="2:2">
      <c r="B68" s="112"/>
    </row>
    <row r="71" spans="4:4">
      <c r="D71" s="126"/>
    </row>
    <row r="81" spans="4:4">
      <c r="D81" s="126"/>
    </row>
    <row r="85" hidden="1"/>
    <row r="86" hidden="1"/>
    <row r="87" hidden="1"/>
    <row r="88" hidden="1"/>
    <row r="89" hidden="1"/>
    <row r="90" spans="3:3">
      <c r="C90" s="86"/>
    </row>
    <row r="91" spans="3:3">
      <c r="C91" s="86"/>
    </row>
  </sheetData>
  <mergeCells count="1">
    <mergeCell ref="J2:L2"/>
  </mergeCells>
  <pageMargins left="0.708661417322835" right="0.708661417322835" top="0.748031496062992" bottom="0.748031496062992" header="0.31496062992126" footer="0.31496062992126"/>
  <pageSetup paperSize="9" scale="6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B9" sqref="B9"/>
    </sheetView>
  </sheetViews>
  <sheetFormatPr defaultColWidth="9" defaultRowHeight="14.4" outlineLevelCol="5"/>
  <cols>
    <col min="1" max="1" width="24.5462962962963" customWidth="1"/>
    <col min="2" max="2" width="18.2685185185185" customWidth="1"/>
    <col min="3" max="3" width="17.3611111111111" style="49" customWidth="1"/>
    <col min="4" max="4" width="23.3611111111111" style="49" customWidth="1"/>
    <col min="5" max="5" width="15.8148148148148" style="49" customWidth="1"/>
    <col min="6" max="6" width="20.3611111111111" customWidth="1"/>
    <col min="7" max="7" width="20.1759259259259" customWidth="1"/>
  </cols>
  <sheetData>
    <row r="1" spans="1:2">
      <c r="A1" s="86" t="s">
        <v>455</v>
      </c>
      <c r="B1" s="86"/>
    </row>
    <row r="3" s="125" customFormat="1" spans="1:6">
      <c r="A3" s="125" t="s">
        <v>672</v>
      </c>
      <c r="B3" s="125" t="s">
        <v>673</v>
      </c>
      <c r="C3" s="125" t="s">
        <v>674</v>
      </c>
      <c r="D3" s="125" t="s">
        <v>675</v>
      </c>
      <c r="E3" s="125" t="s">
        <v>676</v>
      </c>
      <c r="F3" s="125" t="s">
        <v>677</v>
      </c>
    </row>
    <row r="4" spans="1:6">
      <c r="A4" s="126" t="s">
        <v>678</v>
      </c>
      <c r="B4" s="126" t="s">
        <v>679</v>
      </c>
      <c r="C4" s="126" t="s">
        <v>680</v>
      </c>
      <c r="D4" s="49">
        <v>2832202</v>
      </c>
      <c r="E4" s="49" t="s">
        <v>681</v>
      </c>
      <c r="F4" s="275" t="s">
        <v>682</v>
      </c>
    </row>
    <row r="5" spans="1:6">
      <c r="A5" s="126" t="s">
        <v>683</v>
      </c>
      <c r="B5" s="126" t="s">
        <v>679</v>
      </c>
      <c r="C5" s="126" t="s">
        <v>684</v>
      </c>
      <c r="D5" s="49">
        <v>2905983</v>
      </c>
      <c r="E5" s="126" t="s">
        <v>685</v>
      </c>
      <c r="F5" s="276" t="s">
        <v>686</v>
      </c>
    </row>
    <row r="6" spans="1:6">
      <c r="A6" s="126" t="s">
        <v>687</v>
      </c>
      <c r="B6" s="126" t="s">
        <v>679</v>
      </c>
      <c r="C6" s="126" t="s">
        <v>688</v>
      </c>
      <c r="D6" s="49">
        <v>2906327</v>
      </c>
      <c r="E6" s="126" t="s">
        <v>689</v>
      </c>
      <c r="F6" s="276" t="s">
        <v>690</v>
      </c>
    </row>
    <row r="7" spans="2:6">
      <c r="B7" s="126" t="s">
        <v>691</v>
      </c>
      <c r="C7" s="126" t="s">
        <v>692</v>
      </c>
      <c r="D7" s="49">
        <v>2658221</v>
      </c>
      <c r="E7" s="126" t="s">
        <v>693</v>
      </c>
      <c r="F7" s="276" t="s">
        <v>694</v>
      </c>
    </row>
    <row r="8" spans="2:6">
      <c r="B8" s="126" t="s">
        <v>695</v>
      </c>
      <c r="C8" s="126" t="s">
        <v>696</v>
      </c>
      <c r="D8" s="126">
        <v>3342001</v>
      </c>
      <c r="E8" s="126" t="s">
        <v>697</v>
      </c>
      <c r="F8" s="276" t="s">
        <v>698</v>
      </c>
    </row>
    <row r="9" spans="1:6">
      <c r="A9" s="126" t="s">
        <v>699</v>
      </c>
      <c r="B9" s="126" t="s">
        <v>700</v>
      </c>
      <c r="C9" s="126" t="s">
        <v>701</v>
      </c>
      <c r="D9" s="49">
        <v>2340114</v>
      </c>
      <c r="E9" s="126" t="s">
        <v>702</v>
      </c>
      <c r="F9" s="276" t="s">
        <v>703</v>
      </c>
    </row>
    <row r="10" spans="1:2">
      <c r="A10" s="126" t="s">
        <v>704</v>
      </c>
      <c r="B10" s="126" t="s">
        <v>705</v>
      </c>
    </row>
    <row r="11" spans="1:6">
      <c r="A11" s="126" t="s">
        <v>706</v>
      </c>
      <c r="B11" s="126" t="s">
        <v>707</v>
      </c>
      <c r="C11" s="126" t="s">
        <v>708</v>
      </c>
      <c r="D11" s="276" t="s">
        <v>709</v>
      </c>
      <c r="F11" s="277" t="s">
        <v>710</v>
      </c>
    </row>
    <row r="12" spans="1:2">
      <c r="A12" s="126" t="s">
        <v>711</v>
      </c>
      <c r="B12" s="126" t="s">
        <v>712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selection activeCell="H21" sqref="H21"/>
    </sheetView>
  </sheetViews>
  <sheetFormatPr defaultColWidth="9" defaultRowHeight="14.4"/>
  <cols>
    <col min="1" max="1" width="25.1759259259259" customWidth="1"/>
    <col min="2" max="2" width="13.3611111111111" customWidth="1"/>
    <col min="3" max="3" width="11.2685185185185" customWidth="1"/>
    <col min="4" max="4" width="12.2685185185185" style="49" customWidth="1"/>
    <col min="5" max="5" width="18.7222222222222" customWidth="1"/>
    <col min="6" max="6" width="17.3611111111111" customWidth="1"/>
    <col min="7" max="7" width="13.1759259259259" customWidth="1"/>
    <col min="8" max="8" width="13.4537037037037" customWidth="1"/>
    <col min="9" max="9" width="12.2685185185185" customWidth="1"/>
    <col min="10" max="10" width="17.8148148148148" customWidth="1"/>
  </cols>
  <sheetData>
    <row r="1" spans="1:1">
      <c r="A1" s="112" t="s">
        <v>0</v>
      </c>
    </row>
    <row r="2" ht="15.15"/>
    <row r="3" s="111" customFormat="1" ht="15.15" spans="1:10">
      <c r="A3" s="113" t="s">
        <v>713</v>
      </c>
      <c r="B3" s="114" t="s">
        <v>714</v>
      </c>
      <c r="C3" s="115" t="s">
        <v>715</v>
      </c>
      <c r="D3" s="114" t="s">
        <v>716</v>
      </c>
      <c r="E3" s="115" t="s">
        <v>715</v>
      </c>
      <c r="F3" s="114" t="s">
        <v>717</v>
      </c>
      <c r="G3" s="115" t="s">
        <v>715</v>
      </c>
      <c r="H3" s="114" t="s">
        <v>718</v>
      </c>
      <c r="I3" s="115" t="s">
        <v>715</v>
      </c>
      <c r="J3" s="114" t="s">
        <v>719</v>
      </c>
    </row>
    <row r="4" ht="15.15" spans="1:10">
      <c r="A4" s="116" t="s">
        <v>593</v>
      </c>
      <c r="B4" s="117">
        <v>114</v>
      </c>
      <c r="C4" s="118" t="s">
        <v>720</v>
      </c>
      <c r="D4" s="117">
        <v>48</v>
      </c>
      <c r="E4" s="118">
        <v>18.89</v>
      </c>
      <c r="F4" s="117">
        <v>64.5</v>
      </c>
      <c r="G4" s="118">
        <v>25.39</v>
      </c>
      <c r="H4" s="117">
        <v>70</v>
      </c>
      <c r="I4" s="118">
        <v>27.56</v>
      </c>
      <c r="J4" s="117" t="s">
        <v>721</v>
      </c>
    </row>
    <row r="5" ht="15.15" spans="1:10">
      <c r="A5" s="116" t="s">
        <v>722</v>
      </c>
      <c r="B5" s="117">
        <v>118</v>
      </c>
      <c r="C5" s="118" t="s">
        <v>723</v>
      </c>
      <c r="D5" s="117">
        <v>49</v>
      </c>
      <c r="E5" s="118">
        <v>19.29</v>
      </c>
      <c r="F5" s="117">
        <v>65</v>
      </c>
      <c r="G5" s="118">
        <v>25.59</v>
      </c>
      <c r="H5" s="117">
        <v>72</v>
      </c>
      <c r="I5" s="118">
        <v>28.35</v>
      </c>
      <c r="J5" s="117" t="s">
        <v>724</v>
      </c>
    </row>
    <row r="6" ht="15.15" spans="1:10">
      <c r="A6" s="116" t="s">
        <v>725</v>
      </c>
      <c r="B6" s="117">
        <v>122</v>
      </c>
      <c r="C6" s="118">
        <v>48.03</v>
      </c>
      <c r="D6" s="117">
        <v>50.5</v>
      </c>
      <c r="E6" s="118">
        <v>19.88</v>
      </c>
      <c r="F6" s="117">
        <v>65.5</v>
      </c>
      <c r="G6" s="118">
        <v>25.79</v>
      </c>
      <c r="H6" s="117">
        <v>72.5</v>
      </c>
      <c r="I6" s="118">
        <v>28.54</v>
      </c>
      <c r="J6" s="117" t="s">
        <v>726</v>
      </c>
    </row>
    <row r="7" ht="15.15" spans="1:10">
      <c r="A7" s="116" t="s">
        <v>727</v>
      </c>
      <c r="B7" s="117">
        <v>126</v>
      </c>
      <c r="C7" s="118">
        <v>49.61</v>
      </c>
      <c r="D7" s="117">
        <v>52</v>
      </c>
      <c r="E7" s="118">
        <v>20.47</v>
      </c>
      <c r="F7" s="117">
        <v>65.5</v>
      </c>
      <c r="G7" s="118">
        <v>25.79</v>
      </c>
      <c r="H7" s="117">
        <v>72.5</v>
      </c>
      <c r="I7" s="118">
        <v>28.54</v>
      </c>
      <c r="J7" s="117" t="s">
        <v>728</v>
      </c>
    </row>
    <row r="8" ht="15.15" spans="1:10">
      <c r="A8" s="116" t="s">
        <v>729</v>
      </c>
      <c r="B8" s="117">
        <v>130</v>
      </c>
      <c r="C8" s="118">
        <v>51.18</v>
      </c>
      <c r="D8" s="117">
        <v>53</v>
      </c>
      <c r="E8" s="118">
        <v>20.86</v>
      </c>
      <c r="F8" s="117">
        <v>65.5</v>
      </c>
      <c r="G8" s="118">
        <v>25.79</v>
      </c>
      <c r="H8" s="117">
        <v>72.5</v>
      </c>
      <c r="I8" s="118">
        <v>28.54</v>
      </c>
      <c r="J8" s="117" t="s">
        <v>730</v>
      </c>
    </row>
    <row r="10" spans="1:8">
      <c r="A10" s="98"/>
      <c r="B10" s="119" t="s">
        <v>731</v>
      </c>
      <c r="C10" s="119" t="s">
        <v>731</v>
      </c>
      <c r="D10" s="119" t="s">
        <v>732</v>
      </c>
      <c r="E10" s="98"/>
      <c r="F10" s="98"/>
      <c r="G10" s="98"/>
      <c r="H10" s="98"/>
    </row>
    <row r="11" spans="1:8">
      <c r="A11" s="120" t="s">
        <v>2</v>
      </c>
      <c r="B11" s="120" t="s">
        <v>583</v>
      </c>
      <c r="C11" s="120" t="s">
        <v>584</v>
      </c>
      <c r="D11" s="120" t="s">
        <v>733</v>
      </c>
      <c r="E11" s="121" t="s">
        <v>734</v>
      </c>
      <c r="F11" s="121" t="s">
        <v>735</v>
      </c>
      <c r="G11" s="121" t="s">
        <v>736</v>
      </c>
      <c r="H11" s="121" t="s">
        <v>737</v>
      </c>
    </row>
    <row r="12" spans="1:8">
      <c r="A12" s="122" t="s">
        <v>371</v>
      </c>
      <c r="B12" s="123">
        <v>38</v>
      </c>
      <c r="C12" s="123" t="s">
        <v>588</v>
      </c>
      <c r="D12" s="123" t="s">
        <v>722</v>
      </c>
      <c r="E12" s="91"/>
      <c r="F12" s="91"/>
      <c r="G12" s="91"/>
      <c r="H12" s="91"/>
    </row>
    <row r="13" spans="1:8">
      <c r="A13" s="122" t="s">
        <v>285</v>
      </c>
      <c r="B13" s="123">
        <v>39</v>
      </c>
      <c r="C13" s="123" t="s">
        <v>588</v>
      </c>
      <c r="D13" s="124" t="s">
        <v>722</v>
      </c>
      <c r="E13" s="91"/>
      <c r="F13" s="91"/>
      <c r="G13" s="91"/>
      <c r="H13" s="91"/>
    </row>
    <row r="14" spans="1:8">
      <c r="A14" s="122" t="s">
        <v>146</v>
      </c>
      <c r="B14" s="123">
        <v>40</v>
      </c>
      <c r="C14" s="123" t="s">
        <v>589</v>
      </c>
      <c r="D14" s="123" t="s">
        <v>593</v>
      </c>
      <c r="E14" s="91"/>
      <c r="F14" s="91"/>
      <c r="G14" s="91"/>
      <c r="H14" s="91"/>
    </row>
    <row r="15" spans="1:8">
      <c r="A15" s="122" t="s">
        <v>353</v>
      </c>
      <c r="B15" s="123">
        <v>38</v>
      </c>
      <c r="C15" s="123" t="s">
        <v>588</v>
      </c>
      <c r="D15" s="124" t="s">
        <v>722</v>
      </c>
      <c r="E15" s="91"/>
      <c r="F15" s="91"/>
      <c r="G15" s="91"/>
      <c r="H15" s="91"/>
    </row>
    <row r="16" spans="1:8">
      <c r="A16" s="122" t="s">
        <v>157</v>
      </c>
      <c r="B16" s="123">
        <v>41</v>
      </c>
      <c r="C16" s="123" t="s">
        <v>590</v>
      </c>
      <c r="D16" s="123" t="s">
        <v>722</v>
      </c>
      <c r="E16" s="91"/>
      <c r="F16" s="91"/>
      <c r="G16" s="91"/>
      <c r="H16" s="91"/>
    </row>
    <row r="17" spans="1:8">
      <c r="A17" s="122" t="s">
        <v>167</v>
      </c>
      <c r="B17" s="123">
        <v>42</v>
      </c>
      <c r="C17" s="123" t="s">
        <v>590</v>
      </c>
      <c r="D17" s="123" t="s">
        <v>722</v>
      </c>
      <c r="E17" s="91"/>
      <c r="F17" s="91"/>
      <c r="G17" s="91"/>
      <c r="H17" s="91"/>
    </row>
    <row r="18" spans="1:8">
      <c r="A18" s="122" t="s">
        <v>178</v>
      </c>
      <c r="B18" s="123">
        <v>40</v>
      </c>
      <c r="C18" s="123" t="s">
        <v>589</v>
      </c>
      <c r="D18" s="123" t="s">
        <v>593</v>
      </c>
      <c r="E18" s="91"/>
      <c r="F18" s="91"/>
      <c r="G18" s="91"/>
      <c r="H18" s="91"/>
    </row>
    <row r="19" spans="1:8">
      <c r="A19" s="122" t="s">
        <v>189</v>
      </c>
      <c r="B19" s="123">
        <v>41</v>
      </c>
      <c r="C19" s="123" t="s">
        <v>590</v>
      </c>
      <c r="D19" s="123" t="s">
        <v>722</v>
      </c>
      <c r="E19" s="91"/>
      <c r="F19" s="91"/>
      <c r="G19" s="91"/>
      <c r="H19" s="91"/>
    </row>
    <row r="20" spans="1:8">
      <c r="A20" s="122" t="s">
        <v>296</v>
      </c>
      <c r="B20" s="123">
        <v>46</v>
      </c>
      <c r="C20" s="123" t="s">
        <v>588</v>
      </c>
      <c r="D20" s="123" t="s">
        <v>722</v>
      </c>
      <c r="E20" s="91"/>
      <c r="F20" s="91"/>
      <c r="G20" s="91"/>
      <c r="H20" s="91"/>
    </row>
    <row r="21" spans="1:8">
      <c r="A21" s="122" t="s">
        <v>30</v>
      </c>
      <c r="B21" s="123">
        <v>37</v>
      </c>
      <c r="C21" s="124" t="s">
        <v>590</v>
      </c>
      <c r="D21" s="124" t="s">
        <v>593</v>
      </c>
      <c r="E21" s="91"/>
      <c r="F21" s="91"/>
      <c r="G21" s="91"/>
      <c r="H21" s="91"/>
    </row>
    <row r="22" spans="1:8">
      <c r="A22" s="122" t="s">
        <v>362</v>
      </c>
      <c r="B22" s="123">
        <v>39</v>
      </c>
      <c r="C22" s="123" t="s">
        <v>590</v>
      </c>
      <c r="D22" s="124" t="s">
        <v>593</v>
      </c>
      <c r="E22" s="91"/>
      <c r="F22" s="91"/>
      <c r="G22" s="91"/>
      <c r="H22" s="91"/>
    </row>
    <row r="23" spans="1:8">
      <c r="A23" s="122" t="s">
        <v>117</v>
      </c>
      <c r="B23" s="123">
        <v>42</v>
      </c>
      <c r="C23" s="123" t="s">
        <v>588</v>
      </c>
      <c r="D23" s="124" t="s">
        <v>722</v>
      </c>
      <c r="E23" s="91"/>
      <c r="F23" s="91"/>
      <c r="G23" s="91"/>
      <c r="H23" s="91"/>
    </row>
    <row r="24" spans="1:8">
      <c r="A24" s="122" t="s">
        <v>331</v>
      </c>
      <c r="B24" s="123">
        <v>46</v>
      </c>
      <c r="C24" s="123" t="s">
        <v>722</v>
      </c>
      <c r="D24" s="124" t="s">
        <v>722</v>
      </c>
      <c r="E24" s="91"/>
      <c r="F24" s="91"/>
      <c r="G24" s="91"/>
      <c r="H24" s="91"/>
    </row>
    <row r="25" spans="1:8">
      <c r="A25" s="122" t="s">
        <v>17</v>
      </c>
      <c r="B25" s="123">
        <v>42</v>
      </c>
      <c r="C25" s="123" t="s">
        <v>588</v>
      </c>
      <c r="D25" s="123" t="s">
        <v>593</v>
      </c>
      <c r="E25" s="91"/>
      <c r="F25" s="91"/>
      <c r="G25" s="91"/>
      <c r="H25" s="91"/>
    </row>
    <row r="26" spans="1:8">
      <c r="A26" s="122" t="s">
        <v>199</v>
      </c>
      <c r="B26" s="123">
        <v>41</v>
      </c>
      <c r="C26" s="123" t="s">
        <v>590</v>
      </c>
      <c r="D26" s="123" t="s">
        <v>722</v>
      </c>
      <c r="E26" s="91"/>
      <c r="F26" s="91"/>
      <c r="G26" s="91"/>
      <c r="H26" s="91"/>
    </row>
    <row r="27" spans="1:8">
      <c r="A27" s="122" t="s">
        <v>320</v>
      </c>
      <c r="B27" s="123">
        <v>38</v>
      </c>
      <c r="C27" s="123" t="s">
        <v>588</v>
      </c>
      <c r="D27" s="124" t="s">
        <v>722</v>
      </c>
      <c r="E27" s="91"/>
      <c r="F27" s="91"/>
      <c r="G27" s="91"/>
      <c r="H27" s="91"/>
    </row>
    <row r="28" spans="1:8">
      <c r="A28" s="122" t="s">
        <v>381</v>
      </c>
      <c r="B28" s="123">
        <v>38</v>
      </c>
      <c r="C28" s="123" t="s">
        <v>590</v>
      </c>
      <c r="D28" s="123" t="s">
        <v>722</v>
      </c>
      <c r="E28" s="91"/>
      <c r="F28" s="91"/>
      <c r="G28" s="91"/>
      <c r="H28" s="91"/>
    </row>
    <row r="29" spans="1:8">
      <c r="A29" s="122" t="s">
        <v>209</v>
      </c>
      <c r="B29" s="123">
        <v>40</v>
      </c>
      <c r="C29" s="123" t="s">
        <v>590</v>
      </c>
      <c r="D29" s="123" t="s">
        <v>722</v>
      </c>
      <c r="E29" s="91"/>
      <c r="F29" s="91"/>
      <c r="G29" s="91"/>
      <c r="H29" s="91"/>
    </row>
    <row r="30" spans="1:8">
      <c r="A30" s="122" t="s">
        <v>218</v>
      </c>
      <c r="B30" s="123">
        <v>43</v>
      </c>
      <c r="C30" s="123" t="s">
        <v>588</v>
      </c>
      <c r="D30" s="123" t="s">
        <v>725</v>
      </c>
      <c r="E30" s="91"/>
      <c r="F30" s="91"/>
      <c r="G30" s="91"/>
      <c r="H30" s="91"/>
    </row>
    <row r="31" spans="1:8">
      <c r="A31" s="122" t="s">
        <v>226</v>
      </c>
      <c r="B31" s="123">
        <v>46</v>
      </c>
      <c r="C31" s="123" t="s">
        <v>590</v>
      </c>
      <c r="D31" s="123" t="s">
        <v>722</v>
      </c>
      <c r="E31" s="91"/>
      <c r="F31" s="91"/>
      <c r="G31" s="91"/>
      <c r="H31" s="91"/>
    </row>
    <row r="32" spans="1:8">
      <c r="A32" s="122" t="s">
        <v>42</v>
      </c>
      <c r="B32" s="123">
        <v>43</v>
      </c>
      <c r="C32" s="123" t="s">
        <v>589</v>
      </c>
      <c r="D32" s="123" t="s">
        <v>593</v>
      </c>
      <c r="E32" s="91"/>
      <c r="F32" s="91"/>
      <c r="G32" s="91"/>
      <c r="H32" s="91"/>
    </row>
    <row r="33" spans="1:8">
      <c r="A33" s="122" t="s">
        <v>342</v>
      </c>
      <c r="B33" s="123">
        <v>37</v>
      </c>
      <c r="C33" s="123" t="s">
        <v>590</v>
      </c>
      <c r="D33" s="123" t="s">
        <v>593</v>
      </c>
      <c r="E33" s="91"/>
      <c r="F33" s="91"/>
      <c r="G33" s="91"/>
      <c r="H33" s="91"/>
    </row>
    <row r="34" spans="1:8">
      <c r="A34" s="122" t="s">
        <v>53</v>
      </c>
      <c r="B34" s="123">
        <v>42</v>
      </c>
      <c r="C34" s="123" t="s">
        <v>590</v>
      </c>
      <c r="D34" s="124" t="s">
        <v>722</v>
      </c>
      <c r="E34" s="91"/>
      <c r="F34" s="91"/>
      <c r="G34" s="91"/>
      <c r="H34" s="91"/>
    </row>
    <row r="35" spans="1:8">
      <c r="A35" s="122" t="s">
        <v>234</v>
      </c>
      <c r="B35" s="123">
        <v>45</v>
      </c>
      <c r="C35" s="123" t="s">
        <v>588</v>
      </c>
      <c r="D35" s="123" t="s">
        <v>727</v>
      </c>
      <c r="E35" s="91"/>
      <c r="F35" s="91"/>
      <c r="G35" s="91"/>
      <c r="H35" s="91"/>
    </row>
    <row r="36" spans="1:8">
      <c r="A36" s="122" t="s">
        <v>94</v>
      </c>
      <c r="B36" s="123">
        <v>42</v>
      </c>
      <c r="C36" s="123" t="s">
        <v>593</v>
      </c>
      <c r="D36" s="123" t="s">
        <v>722</v>
      </c>
      <c r="E36" s="91"/>
      <c r="F36" s="91"/>
      <c r="G36" s="91"/>
      <c r="H36" s="91"/>
    </row>
    <row r="37" spans="1:8">
      <c r="A37" s="122" t="s">
        <v>445</v>
      </c>
      <c r="B37" s="123">
        <v>39</v>
      </c>
      <c r="C37" s="123" t="s">
        <v>589</v>
      </c>
      <c r="D37" s="124" t="s">
        <v>593</v>
      </c>
      <c r="E37" s="91"/>
      <c r="F37" s="91"/>
      <c r="G37" s="91"/>
      <c r="H37" s="91"/>
    </row>
    <row r="38" spans="1:8">
      <c r="A38" s="122" t="s">
        <v>307</v>
      </c>
      <c r="B38" s="123">
        <v>41</v>
      </c>
      <c r="C38" s="123" t="s">
        <v>588</v>
      </c>
      <c r="D38" s="123" t="s">
        <v>722</v>
      </c>
      <c r="E38" s="91"/>
      <c r="F38" s="91"/>
      <c r="G38" s="91"/>
      <c r="H38" s="91"/>
    </row>
    <row r="39" spans="1:8">
      <c r="A39" s="122" t="s">
        <v>251</v>
      </c>
      <c r="B39" s="123">
        <v>40</v>
      </c>
      <c r="C39" s="123" t="s">
        <v>590</v>
      </c>
      <c r="D39" s="124" t="s">
        <v>593</v>
      </c>
      <c r="E39" s="91"/>
      <c r="F39" s="91"/>
      <c r="G39" s="91"/>
      <c r="H39" s="91"/>
    </row>
    <row r="40" spans="1:8">
      <c r="A40" s="122" t="s">
        <v>390</v>
      </c>
      <c r="B40" s="123">
        <v>42</v>
      </c>
      <c r="C40" s="123" t="s">
        <v>590</v>
      </c>
      <c r="D40" s="124" t="s">
        <v>593</v>
      </c>
      <c r="E40" s="91"/>
      <c r="F40" s="91"/>
      <c r="G40" s="91"/>
      <c r="H40" s="91"/>
    </row>
    <row r="41" spans="1:8">
      <c r="A41" s="122" t="s">
        <v>450</v>
      </c>
      <c r="B41" s="123">
        <v>38</v>
      </c>
      <c r="C41" s="124" t="s">
        <v>590</v>
      </c>
      <c r="D41" s="124" t="s">
        <v>593</v>
      </c>
      <c r="E41" s="91"/>
      <c r="F41" s="91"/>
      <c r="G41" s="91"/>
      <c r="H41" s="91"/>
    </row>
    <row r="42" spans="1:8">
      <c r="A42" s="122" t="s">
        <v>260</v>
      </c>
      <c r="B42" s="123">
        <v>43</v>
      </c>
      <c r="C42" s="123" t="s">
        <v>588</v>
      </c>
      <c r="D42" s="123" t="s">
        <v>725</v>
      </c>
      <c r="E42" s="91"/>
      <c r="F42" s="91"/>
      <c r="G42" s="91"/>
      <c r="H42" s="91"/>
    </row>
    <row r="43" spans="1:8">
      <c r="A43" s="122" t="s">
        <v>267</v>
      </c>
      <c r="B43" s="123">
        <v>44</v>
      </c>
      <c r="C43" s="123" t="s">
        <v>588</v>
      </c>
      <c r="D43" s="123" t="s">
        <v>725</v>
      </c>
      <c r="E43" s="91"/>
      <c r="F43" s="91"/>
      <c r="G43" s="91"/>
      <c r="H43" s="91"/>
    </row>
  </sheetData>
  <pageMargins left="0.708661417322835" right="0.708661417322835" top="0.748031496062992" bottom="0.748031496062992" header="0.31496062992126" footer="0.31496062992126"/>
  <pageSetup paperSize="9" scale="9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zoomScale="72" zoomScaleNormal="72" workbookViewId="0">
      <selection activeCell="E25" sqref="E25"/>
    </sheetView>
  </sheetViews>
  <sheetFormatPr defaultColWidth="9" defaultRowHeight="14.4" outlineLevelCol="4"/>
  <cols>
    <col min="1" max="1" width="30.5462962962963" style="86" customWidth="1"/>
    <col min="2" max="2" width="25.5462962962963" style="87" customWidth="1"/>
    <col min="3" max="3" width="14.5462962962963" customWidth="1"/>
    <col min="4" max="4" width="15.3611111111111" customWidth="1"/>
    <col min="5" max="5" width="21.0925925925926" style="88" customWidth="1"/>
  </cols>
  <sheetData>
    <row r="1" spans="1:5">
      <c r="A1" s="89" t="s">
        <v>455</v>
      </c>
      <c r="B1" s="90"/>
      <c r="C1" s="91"/>
      <c r="D1" s="91"/>
      <c r="E1" s="92"/>
    </row>
    <row r="2" s="49" customFormat="1" ht="15.6" spans="1:5">
      <c r="A2" s="93" t="s">
        <v>457</v>
      </c>
      <c r="B2" s="94" t="s">
        <v>3</v>
      </c>
      <c r="C2" s="93" t="s">
        <v>5</v>
      </c>
      <c r="D2" s="93" t="s">
        <v>738</v>
      </c>
      <c r="E2" s="95" t="s">
        <v>739</v>
      </c>
    </row>
    <row r="3" spans="1:5">
      <c r="A3" s="96" t="s">
        <v>740</v>
      </c>
      <c r="B3" s="97"/>
      <c r="C3" s="98"/>
      <c r="D3" s="98"/>
      <c r="E3" s="99"/>
    </row>
    <row r="4" spans="1:5">
      <c r="A4" s="100" t="s">
        <v>381</v>
      </c>
      <c r="B4" s="101" t="s">
        <v>118</v>
      </c>
      <c r="C4" s="101" t="s">
        <v>201</v>
      </c>
      <c r="D4" s="102" t="s">
        <v>382</v>
      </c>
      <c r="E4" s="103" t="s">
        <v>741</v>
      </c>
    </row>
    <row r="5" spans="1:5">
      <c r="A5" s="100" t="s">
        <v>199</v>
      </c>
      <c r="B5" s="101" t="s">
        <v>200</v>
      </c>
      <c r="C5" s="101" t="s">
        <v>201</v>
      </c>
      <c r="D5" s="102" t="s">
        <v>202</v>
      </c>
      <c r="E5" s="103" t="s">
        <v>742</v>
      </c>
    </row>
    <row r="6" spans="1:5">
      <c r="A6" s="100" t="s">
        <v>342</v>
      </c>
      <c r="B6" s="101" t="s">
        <v>743</v>
      </c>
      <c r="C6" s="101" t="s">
        <v>744</v>
      </c>
      <c r="D6" s="102" t="s">
        <v>745</v>
      </c>
      <c r="E6" s="103" t="s">
        <v>746</v>
      </c>
    </row>
    <row r="7" spans="1:5">
      <c r="A7" s="104" t="s">
        <v>747</v>
      </c>
      <c r="B7" s="105"/>
      <c r="C7" s="105"/>
      <c r="D7" s="106"/>
      <c r="E7" s="105"/>
    </row>
    <row r="8" spans="1:5">
      <c r="A8" s="107"/>
      <c r="B8" s="108"/>
      <c r="C8" s="108"/>
      <c r="D8" s="109"/>
      <c r="E8" s="108"/>
    </row>
    <row r="9" spans="1:5">
      <c r="A9" s="104" t="s">
        <v>748</v>
      </c>
      <c r="B9" s="105"/>
      <c r="C9" s="105"/>
      <c r="D9" s="106"/>
      <c r="E9" s="105"/>
    </row>
    <row r="10" spans="1:5">
      <c r="A10" s="100" t="s">
        <v>362</v>
      </c>
      <c r="B10" s="101" t="s">
        <v>363</v>
      </c>
      <c r="C10" s="101" t="s">
        <v>364</v>
      </c>
      <c r="D10" s="102" t="s">
        <v>365</v>
      </c>
      <c r="E10" s="103" t="s">
        <v>749</v>
      </c>
    </row>
    <row r="11" spans="1:5">
      <c r="A11" s="100" t="s">
        <v>750</v>
      </c>
      <c r="B11" s="101" t="s">
        <v>18</v>
      </c>
      <c r="C11" s="101" t="s">
        <v>20</v>
      </c>
      <c r="D11" s="102" t="s">
        <v>751</v>
      </c>
      <c r="E11" s="103" t="s">
        <v>752</v>
      </c>
    </row>
    <row r="12" spans="1:5">
      <c r="A12" s="104" t="s">
        <v>753</v>
      </c>
      <c r="B12" s="105"/>
      <c r="C12" s="105"/>
      <c r="D12" s="106"/>
      <c r="E12" s="105"/>
    </row>
    <row r="13" spans="1:5">
      <c r="A13" s="100" t="s">
        <v>260</v>
      </c>
      <c r="B13" s="101" t="s">
        <v>147</v>
      </c>
      <c r="C13" s="101" t="s">
        <v>210</v>
      </c>
      <c r="D13" s="102" t="s">
        <v>211</v>
      </c>
      <c r="E13" s="103" t="s">
        <v>754</v>
      </c>
    </row>
    <row r="14" spans="1:5">
      <c r="A14" s="100" t="s">
        <v>218</v>
      </c>
      <c r="B14" s="101" t="s">
        <v>200</v>
      </c>
      <c r="C14" s="101" t="s">
        <v>210</v>
      </c>
      <c r="D14" s="102" t="s">
        <v>211</v>
      </c>
      <c r="E14" s="103" t="s">
        <v>755</v>
      </c>
    </row>
    <row r="15" spans="1:5">
      <c r="A15" s="100" t="s">
        <v>226</v>
      </c>
      <c r="B15" s="101" t="s">
        <v>756</v>
      </c>
      <c r="C15" s="101" t="s">
        <v>191</v>
      </c>
      <c r="D15" s="102" t="s">
        <v>192</v>
      </c>
      <c r="E15" s="103" t="s">
        <v>757</v>
      </c>
    </row>
    <row r="16" spans="1:5">
      <c r="A16" s="104" t="s">
        <v>758</v>
      </c>
      <c r="B16" s="105"/>
      <c r="C16" s="105"/>
      <c r="D16" s="106"/>
      <c r="E16" s="105"/>
    </row>
    <row r="17" spans="1:5">
      <c r="A17" s="100" t="s">
        <v>146</v>
      </c>
      <c r="B17" s="101" t="s">
        <v>147</v>
      </c>
      <c r="C17" s="101" t="s">
        <v>148</v>
      </c>
      <c r="D17" s="102" t="s">
        <v>149</v>
      </c>
      <c r="E17" s="103" t="s">
        <v>759</v>
      </c>
    </row>
    <row r="18" spans="1:5">
      <c r="A18" s="100" t="s">
        <v>760</v>
      </c>
      <c r="B18" s="101" t="s">
        <v>43</v>
      </c>
      <c r="C18" s="101" t="s">
        <v>45</v>
      </c>
      <c r="D18" s="102" t="s">
        <v>46</v>
      </c>
      <c r="E18" s="103" t="s">
        <v>761</v>
      </c>
    </row>
    <row r="19" spans="1:5">
      <c r="A19" s="100" t="s">
        <v>398</v>
      </c>
      <c r="B19" s="101" t="s">
        <v>399</v>
      </c>
      <c r="C19" s="101" t="s">
        <v>400</v>
      </c>
      <c r="D19" s="102" t="s">
        <v>401</v>
      </c>
      <c r="E19" s="103" t="s">
        <v>762</v>
      </c>
    </row>
    <row r="20" spans="1:5">
      <c r="A20" s="100" t="s">
        <v>157</v>
      </c>
      <c r="B20" s="101" t="s">
        <v>763</v>
      </c>
      <c r="C20" s="101" t="s">
        <v>160</v>
      </c>
      <c r="D20" s="102" t="s">
        <v>161</v>
      </c>
      <c r="E20" s="103" t="s">
        <v>764</v>
      </c>
    </row>
    <row r="21" spans="1:5">
      <c r="A21" s="100" t="s">
        <v>53</v>
      </c>
      <c r="B21" s="101" t="s">
        <v>54</v>
      </c>
      <c r="C21" s="101" t="s">
        <v>55</v>
      </c>
      <c r="D21" s="102" t="s">
        <v>56</v>
      </c>
      <c r="E21" s="103" t="s">
        <v>765</v>
      </c>
    </row>
    <row r="22" spans="1:5">
      <c r="A22" s="100" t="s">
        <v>307</v>
      </c>
      <c r="B22" s="101" t="s">
        <v>766</v>
      </c>
      <c r="C22" s="101" t="s">
        <v>310</v>
      </c>
      <c r="D22" s="102" t="s">
        <v>311</v>
      </c>
      <c r="E22" s="103" t="s">
        <v>767</v>
      </c>
    </row>
    <row r="23" spans="1:5">
      <c r="A23" s="100" t="s">
        <v>251</v>
      </c>
      <c r="B23" s="101" t="s">
        <v>763</v>
      </c>
      <c r="C23" s="101" t="s">
        <v>252</v>
      </c>
      <c r="D23" s="110" t="s">
        <v>253</v>
      </c>
      <c r="E23" s="103" t="s">
        <v>768</v>
      </c>
    </row>
    <row r="24" spans="1:5">
      <c r="A24" s="104" t="s">
        <v>769</v>
      </c>
      <c r="B24" s="105"/>
      <c r="C24" s="105"/>
      <c r="D24" s="106"/>
      <c r="E24" s="105"/>
    </row>
    <row r="25" spans="1:5">
      <c r="A25" s="100" t="s">
        <v>331</v>
      </c>
      <c r="B25" s="101" t="s">
        <v>332</v>
      </c>
      <c r="C25" s="101" t="s">
        <v>333</v>
      </c>
      <c r="D25" s="102" t="s">
        <v>334</v>
      </c>
      <c r="E25" s="103" t="s">
        <v>770</v>
      </c>
    </row>
    <row r="26" spans="1:5">
      <c r="A26" s="100" t="s">
        <v>178</v>
      </c>
      <c r="B26" s="101" t="s">
        <v>200</v>
      </c>
      <c r="C26" s="101" t="s">
        <v>180</v>
      </c>
      <c r="D26" s="102" t="s">
        <v>181</v>
      </c>
      <c r="E26" s="103" t="s">
        <v>771</v>
      </c>
    </row>
    <row r="27" spans="1:5">
      <c r="A27" s="100" t="s">
        <v>94</v>
      </c>
      <c r="B27" s="101" t="s">
        <v>772</v>
      </c>
      <c r="C27" s="101" t="s">
        <v>96</v>
      </c>
      <c r="D27" s="102" t="s">
        <v>97</v>
      </c>
      <c r="E27" s="103" t="s">
        <v>773</v>
      </c>
    </row>
    <row r="28" spans="1:5">
      <c r="A28" s="104" t="s">
        <v>774</v>
      </c>
      <c r="B28" s="105"/>
      <c r="C28" s="105"/>
      <c r="D28" s="106"/>
      <c r="E28" s="105"/>
    </row>
    <row r="29" spans="1:5">
      <c r="A29" s="100" t="s">
        <v>189</v>
      </c>
      <c r="B29" s="101" t="s">
        <v>190</v>
      </c>
      <c r="C29" s="101" t="s">
        <v>191</v>
      </c>
      <c r="D29" s="102" t="s">
        <v>192</v>
      </c>
      <c r="E29" s="103" t="s">
        <v>775</v>
      </c>
    </row>
    <row r="30" spans="1:5">
      <c r="A30" s="100" t="s">
        <v>296</v>
      </c>
      <c r="B30" s="101" t="s">
        <v>95</v>
      </c>
      <c r="C30" s="101" t="s">
        <v>297</v>
      </c>
      <c r="D30" s="102" t="s">
        <v>298</v>
      </c>
      <c r="E30" s="103" t="s">
        <v>776</v>
      </c>
    </row>
    <row r="31" spans="1:5">
      <c r="A31" s="104" t="s">
        <v>777</v>
      </c>
      <c r="B31" s="105"/>
      <c r="C31" s="105"/>
      <c r="D31" s="106"/>
      <c r="E31" s="105"/>
    </row>
    <row r="32" spans="1:5">
      <c r="A32" s="100" t="s">
        <v>371</v>
      </c>
      <c r="B32" s="101" t="s">
        <v>143</v>
      </c>
      <c r="C32" s="101" t="s">
        <v>372</v>
      </c>
      <c r="D32" s="102" t="s">
        <v>373</v>
      </c>
      <c r="E32" s="103" t="s">
        <v>778</v>
      </c>
    </row>
    <row r="33" spans="1:5">
      <c r="A33" s="104" t="s">
        <v>779</v>
      </c>
      <c r="B33" s="105"/>
      <c r="C33" s="105"/>
      <c r="D33" s="106"/>
      <c r="E33" s="105"/>
    </row>
    <row r="34" spans="1:5">
      <c r="A34" s="92" t="s">
        <v>780</v>
      </c>
      <c r="B34" s="103" t="s">
        <v>66</v>
      </c>
      <c r="C34" s="103" t="s">
        <v>67</v>
      </c>
      <c r="D34" s="110" t="s">
        <v>68</v>
      </c>
      <c r="E34" s="103" t="s">
        <v>781</v>
      </c>
    </row>
    <row r="35" spans="1:5">
      <c r="A35" s="100" t="s">
        <v>209</v>
      </c>
      <c r="B35" s="101" t="s">
        <v>147</v>
      </c>
      <c r="C35" s="101" t="s">
        <v>210</v>
      </c>
      <c r="D35" s="102" t="s">
        <v>211</v>
      </c>
      <c r="E35" s="103" t="s">
        <v>782</v>
      </c>
    </row>
    <row r="36" spans="1:5">
      <c r="A36" s="100" t="s">
        <v>267</v>
      </c>
      <c r="B36" s="101" t="s">
        <v>783</v>
      </c>
      <c r="C36" s="101" t="s">
        <v>201</v>
      </c>
      <c r="D36" s="102" t="s">
        <v>202</v>
      </c>
      <c r="E36" s="103" t="s">
        <v>784</v>
      </c>
    </row>
    <row r="37" spans="1:5">
      <c r="A37" s="100" t="s">
        <v>117</v>
      </c>
      <c r="B37" s="101" t="s">
        <v>763</v>
      </c>
      <c r="C37" s="101" t="s">
        <v>120</v>
      </c>
      <c r="D37" s="102" t="s">
        <v>121</v>
      </c>
      <c r="E37" s="103" t="s">
        <v>785</v>
      </c>
    </row>
    <row r="38" spans="1:5">
      <c r="A38" s="104" t="s">
        <v>786</v>
      </c>
      <c r="B38" s="105"/>
      <c r="C38" s="105"/>
      <c r="D38" s="106"/>
      <c r="E38" s="105"/>
    </row>
    <row r="39" spans="1:5">
      <c r="A39" s="100" t="s">
        <v>787</v>
      </c>
      <c r="B39" s="101" t="s">
        <v>31</v>
      </c>
      <c r="C39" s="101" t="s">
        <v>33</v>
      </c>
      <c r="D39" s="110" t="s">
        <v>34</v>
      </c>
      <c r="E39" s="103" t="s">
        <v>788</v>
      </c>
    </row>
    <row r="40" spans="1:5">
      <c r="A40" s="104" t="s">
        <v>789</v>
      </c>
      <c r="B40" s="105"/>
      <c r="C40" s="105"/>
      <c r="D40" s="106"/>
      <c r="E40" s="105"/>
    </row>
    <row r="41" spans="1:5">
      <c r="A41" s="100" t="s">
        <v>167</v>
      </c>
      <c r="B41" s="101" t="s">
        <v>168</v>
      </c>
      <c r="C41" s="101" t="s">
        <v>169</v>
      </c>
      <c r="D41" s="102" t="s">
        <v>170</v>
      </c>
      <c r="E41" s="103" t="s">
        <v>790</v>
      </c>
    </row>
    <row r="42" spans="1:5">
      <c r="A42" s="100" t="s">
        <v>390</v>
      </c>
      <c r="B42" s="101" t="s">
        <v>763</v>
      </c>
      <c r="C42" s="101" t="s">
        <v>191</v>
      </c>
      <c r="D42" s="102" t="s">
        <v>192</v>
      </c>
      <c r="E42" s="103" t="s">
        <v>791</v>
      </c>
    </row>
    <row r="43" spans="1:5">
      <c r="A43" s="100" t="s">
        <v>234</v>
      </c>
      <c r="B43" s="101" t="s">
        <v>763</v>
      </c>
      <c r="C43" s="101" t="s">
        <v>235</v>
      </c>
      <c r="D43" s="110" t="s">
        <v>236</v>
      </c>
      <c r="E43" s="103" t="s">
        <v>792</v>
      </c>
    </row>
    <row r="44" spans="1:5">
      <c r="A44" s="100" t="s">
        <v>445</v>
      </c>
      <c r="B44" s="101" t="s">
        <v>200</v>
      </c>
      <c r="C44" s="101" t="s">
        <v>180</v>
      </c>
      <c r="D44" s="102" t="s">
        <v>181</v>
      </c>
      <c r="E44" s="103" t="s">
        <v>793</v>
      </c>
    </row>
    <row r="45" spans="1:5">
      <c r="A45" s="100" t="s">
        <v>320</v>
      </c>
      <c r="B45" s="101" t="s">
        <v>321</v>
      </c>
      <c r="C45" s="101" t="s">
        <v>322</v>
      </c>
      <c r="D45" s="102" t="s">
        <v>323</v>
      </c>
      <c r="E45" s="103" t="s">
        <v>794</v>
      </c>
    </row>
    <row r="46" spans="1:5">
      <c r="A46" s="104" t="s">
        <v>795</v>
      </c>
      <c r="B46" s="105"/>
      <c r="C46" s="105"/>
      <c r="D46" s="106"/>
      <c r="E46" s="105"/>
    </row>
    <row r="47" spans="1:5">
      <c r="A47" s="107"/>
      <c r="B47" s="108"/>
      <c r="C47" s="108"/>
      <c r="D47" s="109"/>
      <c r="E47" s="108"/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zoomScale="81" zoomScaleNormal="81" workbookViewId="0">
      <selection activeCell="H3" sqref="A3:H3"/>
    </sheetView>
  </sheetViews>
  <sheetFormatPr defaultColWidth="9" defaultRowHeight="14.4" outlineLevelCol="7"/>
  <cols>
    <col min="1" max="1" width="39.1759259259259" style="50" customWidth="1"/>
    <col min="2" max="2" width="30.7222222222222" style="51" customWidth="1"/>
    <col min="3" max="3" width="25.5462962962963" style="51" customWidth="1"/>
    <col min="4" max="4" width="17.3611111111111" style="50" customWidth="1"/>
    <col min="5" max="5" width="24.1759259259259" style="50" customWidth="1"/>
    <col min="6" max="6" width="26.7222222222222" style="50" customWidth="1"/>
    <col min="7" max="7" width="13.9074074074074" style="51" customWidth="1"/>
    <col min="8" max="8" width="19.2685185185185" style="49" customWidth="1"/>
  </cols>
  <sheetData>
    <row r="1" spans="1:1">
      <c r="A1" s="52" t="s">
        <v>0</v>
      </c>
    </row>
    <row r="2" spans="1:1">
      <c r="A2" s="53" t="s">
        <v>1</v>
      </c>
    </row>
    <row r="3" s="49" customFormat="1" spans="1:8">
      <c r="A3" s="54" t="s">
        <v>2</v>
      </c>
      <c r="B3" s="54" t="s">
        <v>3</v>
      </c>
      <c r="C3" s="54" t="s">
        <v>4</v>
      </c>
      <c r="D3" s="54" t="s">
        <v>5</v>
      </c>
      <c r="E3" s="54" t="s">
        <v>6</v>
      </c>
      <c r="F3" s="54" t="s">
        <v>7</v>
      </c>
      <c r="G3" s="54" t="s">
        <v>8</v>
      </c>
      <c r="H3" s="55" t="s">
        <v>796</v>
      </c>
    </row>
    <row r="4" spans="1:8">
      <c r="A4" s="56" t="s">
        <v>17</v>
      </c>
      <c r="B4" s="57" t="s">
        <v>18</v>
      </c>
      <c r="C4" s="57" t="s">
        <v>19</v>
      </c>
      <c r="D4" s="57" t="s">
        <v>20</v>
      </c>
      <c r="E4" s="57" t="s">
        <v>21</v>
      </c>
      <c r="F4" s="57" t="s">
        <v>22</v>
      </c>
      <c r="G4" s="58">
        <v>241308.4</v>
      </c>
      <c r="H4" s="59">
        <v>241308.4</v>
      </c>
    </row>
    <row r="5" spans="1:8">
      <c r="A5" s="60" t="s">
        <v>797</v>
      </c>
      <c r="B5" s="61"/>
      <c r="C5" s="61"/>
      <c r="D5" s="61"/>
      <c r="E5" s="61"/>
      <c r="F5" s="61"/>
      <c r="G5" s="62"/>
      <c r="H5" s="63"/>
    </row>
    <row r="6" spans="1:8">
      <c r="A6" s="56" t="s">
        <v>285</v>
      </c>
      <c r="B6" s="57" t="s">
        <v>84</v>
      </c>
      <c r="C6" s="57" t="s">
        <v>32</v>
      </c>
      <c r="D6" s="57" t="s">
        <v>286</v>
      </c>
      <c r="E6" s="64" t="s">
        <v>287</v>
      </c>
      <c r="F6" s="64" t="s">
        <v>22</v>
      </c>
      <c r="G6" s="65">
        <v>20000</v>
      </c>
      <c r="H6" s="66">
        <v>19000</v>
      </c>
    </row>
    <row r="7" spans="1:8">
      <c r="A7" s="67" t="s">
        <v>353</v>
      </c>
      <c r="B7" s="57" t="s">
        <v>354</v>
      </c>
      <c r="C7" s="57" t="s">
        <v>32</v>
      </c>
      <c r="D7" s="57" t="s">
        <v>355</v>
      </c>
      <c r="E7" s="64" t="s">
        <v>356</v>
      </c>
      <c r="F7" s="64" t="s">
        <v>22</v>
      </c>
      <c r="G7" s="65">
        <v>20000</v>
      </c>
      <c r="H7" s="68">
        <v>17166</v>
      </c>
    </row>
    <row r="8" spans="1:8">
      <c r="A8" s="67" t="s">
        <v>83</v>
      </c>
      <c r="B8" s="57" t="s">
        <v>84</v>
      </c>
      <c r="C8" s="57" t="s">
        <v>32</v>
      </c>
      <c r="D8" s="57" t="s">
        <v>798</v>
      </c>
      <c r="E8" s="64" t="s">
        <v>799</v>
      </c>
      <c r="F8" s="64" t="s">
        <v>78</v>
      </c>
      <c r="G8" s="65">
        <v>19000</v>
      </c>
      <c r="H8" s="68"/>
    </row>
    <row r="9" spans="1:8">
      <c r="A9" s="67" t="s">
        <v>30</v>
      </c>
      <c r="B9" s="57" t="s">
        <v>31</v>
      </c>
      <c r="C9" s="57" t="s">
        <v>32</v>
      </c>
      <c r="D9" s="57" t="s">
        <v>33</v>
      </c>
      <c r="E9" s="64" t="s">
        <v>34</v>
      </c>
      <c r="F9" s="64" t="s">
        <v>22</v>
      </c>
      <c r="G9" s="65">
        <v>25000</v>
      </c>
      <c r="H9" s="68">
        <v>20833</v>
      </c>
    </row>
    <row r="10" spans="1:8">
      <c r="A10" s="56" t="s">
        <v>42</v>
      </c>
      <c r="B10" s="57" t="s">
        <v>43</v>
      </c>
      <c r="C10" s="57" t="s">
        <v>32</v>
      </c>
      <c r="D10" s="57" t="s">
        <v>45</v>
      </c>
      <c r="E10" s="57" t="s">
        <v>46</v>
      </c>
      <c r="F10" s="57" t="s">
        <v>22</v>
      </c>
      <c r="G10" s="65">
        <v>18354</v>
      </c>
      <c r="H10" s="66">
        <v>18354</v>
      </c>
    </row>
    <row r="11" spans="1:8">
      <c r="A11" s="56" t="s">
        <v>342</v>
      </c>
      <c r="B11" s="57" t="s">
        <v>343</v>
      </c>
      <c r="C11" s="57" t="s">
        <v>32</v>
      </c>
      <c r="D11" s="57" t="s">
        <v>744</v>
      </c>
      <c r="E11" s="57" t="s">
        <v>745</v>
      </c>
      <c r="F11" s="57" t="s">
        <v>22</v>
      </c>
      <c r="G11" s="65">
        <v>33284</v>
      </c>
      <c r="H11" s="66">
        <v>33284</v>
      </c>
    </row>
    <row r="12" spans="1:8">
      <c r="A12" s="56" t="s">
        <v>53</v>
      </c>
      <c r="B12" s="57" t="s">
        <v>54</v>
      </c>
      <c r="C12" s="57" t="s">
        <v>32</v>
      </c>
      <c r="D12" s="57" t="s">
        <v>55</v>
      </c>
      <c r="E12" s="57" t="s">
        <v>56</v>
      </c>
      <c r="F12" s="57" t="s">
        <v>22</v>
      </c>
      <c r="G12" s="65">
        <v>18354</v>
      </c>
      <c r="H12" s="66">
        <v>18354</v>
      </c>
    </row>
    <row r="13" spans="1:8">
      <c r="A13" s="56" t="s">
        <v>65</v>
      </c>
      <c r="B13" s="57" t="s">
        <v>66</v>
      </c>
      <c r="C13" s="57" t="s">
        <v>32</v>
      </c>
      <c r="D13" s="57" t="s">
        <v>67</v>
      </c>
      <c r="E13" s="64" t="s">
        <v>68</v>
      </c>
      <c r="F13" s="64" t="s">
        <v>78</v>
      </c>
      <c r="G13" s="65">
        <v>60000</v>
      </c>
      <c r="H13" s="69">
        <v>10000</v>
      </c>
    </row>
    <row r="14" spans="1:8">
      <c r="A14" s="70" t="s">
        <v>93</v>
      </c>
      <c r="B14" s="71"/>
      <c r="C14" s="71"/>
      <c r="D14" s="71"/>
      <c r="E14" s="71"/>
      <c r="F14" s="71"/>
      <c r="G14" s="72"/>
      <c r="H14" s="73"/>
    </row>
    <row r="15" spans="1:8">
      <c r="A15" s="56" t="s">
        <v>296</v>
      </c>
      <c r="B15" s="57" t="s">
        <v>95</v>
      </c>
      <c r="C15" s="57" t="s">
        <v>32</v>
      </c>
      <c r="D15" s="57" t="s">
        <v>297</v>
      </c>
      <c r="E15" s="57" t="s">
        <v>298</v>
      </c>
      <c r="F15" s="57" t="s">
        <v>22</v>
      </c>
      <c r="G15" s="74">
        <v>113382.4</v>
      </c>
      <c r="H15" s="75">
        <v>113382.4</v>
      </c>
    </row>
    <row r="16" spans="1:8">
      <c r="A16" s="56" t="s">
        <v>362</v>
      </c>
      <c r="B16" s="57" t="s">
        <v>363</v>
      </c>
      <c r="C16" s="57" t="s">
        <v>32</v>
      </c>
      <c r="D16" s="57" t="s">
        <v>364</v>
      </c>
      <c r="E16" s="57" t="s">
        <v>365</v>
      </c>
      <c r="F16" s="57" t="s">
        <v>22</v>
      </c>
      <c r="G16" s="74">
        <v>52177.9024</v>
      </c>
      <c r="H16" s="75">
        <v>52177.9024</v>
      </c>
    </row>
    <row r="17" spans="1:8">
      <c r="A17" s="56" t="s">
        <v>331</v>
      </c>
      <c r="B17" s="57" t="s">
        <v>332</v>
      </c>
      <c r="C17" s="57" t="s">
        <v>32</v>
      </c>
      <c r="D17" s="57" t="s">
        <v>333</v>
      </c>
      <c r="E17" s="57" t="s">
        <v>334</v>
      </c>
      <c r="F17" s="57" t="s">
        <v>22</v>
      </c>
      <c r="G17" s="74">
        <v>47198.72</v>
      </c>
      <c r="H17" s="75">
        <v>47198.72</v>
      </c>
    </row>
    <row r="18" spans="1:8">
      <c r="A18" s="56" t="s">
        <v>129</v>
      </c>
      <c r="B18" s="57" t="s">
        <v>130</v>
      </c>
      <c r="C18" s="57" t="s">
        <v>32</v>
      </c>
      <c r="D18" s="57" t="s">
        <v>800</v>
      </c>
      <c r="E18" s="57" t="s">
        <v>801</v>
      </c>
      <c r="F18" s="57" t="s">
        <v>78</v>
      </c>
      <c r="G18" s="74">
        <v>25000</v>
      </c>
      <c r="H18" s="75"/>
    </row>
    <row r="19" spans="1:8">
      <c r="A19" s="56" t="s">
        <v>94</v>
      </c>
      <c r="B19" s="57" t="s">
        <v>772</v>
      </c>
      <c r="C19" s="57" t="s">
        <v>19</v>
      </c>
      <c r="D19" s="57" t="s">
        <v>96</v>
      </c>
      <c r="E19" s="57" t="s">
        <v>97</v>
      </c>
      <c r="F19" s="57" t="s">
        <v>22</v>
      </c>
      <c r="G19" s="74">
        <v>47656.96</v>
      </c>
      <c r="H19" s="75">
        <v>47656.96</v>
      </c>
    </row>
    <row r="20" spans="1:8">
      <c r="A20" s="56" t="s">
        <v>371</v>
      </c>
      <c r="B20" s="57" t="s">
        <v>143</v>
      </c>
      <c r="C20" s="57" t="s">
        <v>32</v>
      </c>
      <c r="D20" s="57" t="s">
        <v>372</v>
      </c>
      <c r="E20" s="57" t="s">
        <v>373</v>
      </c>
      <c r="F20" s="57" t="s">
        <v>22</v>
      </c>
      <c r="G20" s="74">
        <v>40435.2</v>
      </c>
      <c r="H20" s="75">
        <v>40435.2</v>
      </c>
    </row>
    <row r="21" spans="1:8">
      <c r="A21" s="56" t="s">
        <v>307</v>
      </c>
      <c r="B21" s="57" t="s">
        <v>308</v>
      </c>
      <c r="C21" s="57" t="s">
        <v>32</v>
      </c>
      <c r="D21" s="57" t="s">
        <v>310</v>
      </c>
      <c r="E21" s="57" t="s">
        <v>311</v>
      </c>
      <c r="F21" s="57" t="s">
        <v>22</v>
      </c>
      <c r="G21" s="74">
        <v>24139.57</v>
      </c>
      <c r="H21" s="75">
        <v>24139.57</v>
      </c>
    </row>
    <row r="22" spans="1:8">
      <c r="A22" s="56" t="s">
        <v>381</v>
      </c>
      <c r="B22" s="57" t="s">
        <v>118</v>
      </c>
      <c r="C22" s="57" t="s">
        <v>32</v>
      </c>
      <c r="D22" s="57" t="s">
        <v>201</v>
      </c>
      <c r="E22" s="57" t="s">
        <v>382</v>
      </c>
      <c r="F22" s="57" t="s">
        <v>22</v>
      </c>
      <c r="G22" s="74">
        <v>25599</v>
      </c>
      <c r="H22" s="75">
        <v>25599</v>
      </c>
    </row>
    <row r="23" spans="1:8">
      <c r="A23" s="56" t="s">
        <v>320</v>
      </c>
      <c r="B23" s="57" t="s">
        <v>321</v>
      </c>
      <c r="C23" s="57" t="s">
        <v>32</v>
      </c>
      <c r="D23" s="57" t="s">
        <v>322</v>
      </c>
      <c r="E23" s="57" t="s">
        <v>323</v>
      </c>
      <c r="F23" s="57" t="s">
        <v>22</v>
      </c>
      <c r="G23" s="76">
        <v>28487</v>
      </c>
      <c r="H23" s="66">
        <v>28487</v>
      </c>
    </row>
    <row r="24" spans="1:8">
      <c r="A24" s="77" t="s">
        <v>145</v>
      </c>
      <c r="B24" s="78"/>
      <c r="C24" s="78"/>
      <c r="D24" s="78"/>
      <c r="E24" s="78"/>
      <c r="F24" s="78"/>
      <c r="G24" s="79"/>
      <c r="H24" s="80"/>
    </row>
    <row r="25" spans="1:8">
      <c r="A25" s="56" t="s">
        <v>146</v>
      </c>
      <c r="B25" s="57" t="s">
        <v>147</v>
      </c>
      <c r="C25" s="57" t="s">
        <v>44</v>
      </c>
      <c r="D25" s="57" t="s">
        <v>148</v>
      </c>
      <c r="E25" s="57" t="s">
        <v>149</v>
      </c>
      <c r="F25" s="57" t="s">
        <v>22</v>
      </c>
      <c r="G25" s="66">
        <f>'[1]DELTAPLUS 2ND'!$G$41</f>
        <v>21077.28</v>
      </c>
      <c r="H25" s="66">
        <f>'[1]DELTAPLUS 2ND'!$G$41</f>
        <v>21077.28</v>
      </c>
    </row>
    <row r="26" spans="1:8">
      <c r="A26" s="56" t="s">
        <v>157</v>
      </c>
      <c r="B26" s="57" t="s">
        <v>763</v>
      </c>
      <c r="C26" s="57" t="s">
        <v>159</v>
      </c>
      <c r="D26" s="57" t="s">
        <v>160</v>
      </c>
      <c r="E26" s="57" t="s">
        <v>161</v>
      </c>
      <c r="F26" s="57" t="s">
        <v>22</v>
      </c>
      <c r="G26" s="66">
        <v>17640</v>
      </c>
      <c r="H26" s="66">
        <v>17640</v>
      </c>
    </row>
    <row r="27" spans="1:8">
      <c r="A27" s="56" t="s">
        <v>167</v>
      </c>
      <c r="B27" s="57" t="s">
        <v>168</v>
      </c>
      <c r="C27" s="57" t="s">
        <v>44</v>
      </c>
      <c r="D27" s="57" t="s">
        <v>169</v>
      </c>
      <c r="E27" s="57" t="s">
        <v>170</v>
      </c>
      <c r="F27" s="57" t="s">
        <v>22</v>
      </c>
      <c r="G27" s="81">
        <v>45896.8</v>
      </c>
      <c r="H27" s="81">
        <v>45896.8</v>
      </c>
    </row>
    <row r="28" spans="1:8">
      <c r="A28" s="56" t="s">
        <v>178</v>
      </c>
      <c r="B28" s="57" t="s">
        <v>179</v>
      </c>
      <c r="C28" s="57" t="s">
        <v>44</v>
      </c>
      <c r="D28" s="57" t="s">
        <v>180</v>
      </c>
      <c r="E28" s="57" t="s">
        <v>181</v>
      </c>
      <c r="F28" s="57" t="s">
        <v>22</v>
      </c>
      <c r="G28" s="66">
        <f>'[1]DELTAPLUS 2ND'!$G$44</f>
        <v>18522</v>
      </c>
      <c r="H28" s="66">
        <f>'[1]DELTAPLUS 2ND'!$G$44</f>
        <v>18522</v>
      </c>
    </row>
    <row r="29" spans="1:8">
      <c r="A29" s="56" t="s">
        <v>189</v>
      </c>
      <c r="B29" s="57" t="s">
        <v>190</v>
      </c>
      <c r="C29" s="57" t="s">
        <v>44</v>
      </c>
      <c r="D29" s="57" t="s">
        <v>191</v>
      </c>
      <c r="E29" s="57" t="s">
        <v>192</v>
      </c>
      <c r="F29" s="57" t="s">
        <v>22</v>
      </c>
      <c r="G29" s="81">
        <f>'[1]DELTAPLUS 2ND'!$G$30</f>
        <v>29757</v>
      </c>
      <c r="H29" s="81">
        <f>'[1]DELTAPLUS 2ND'!$G$30</f>
        <v>29757</v>
      </c>
    </row>
    <row r="30" spans="1:8">
      <c r="A30" s="67" t="s">
        <v>117</v>
      </c>
      <c r="B30" s="64" t="s">
        <v>763</v>
      </c>
      <c r="C30" s="64" t="s">
        <v>44</v>
      </c>
      <c r="D30" s="64" t="s">
        <v>120</v>
      </c>
      <c r="E30" s="64" t="s">
        <v>121</v>
      </c>
      <c r="F30" s="64" t="s">
        <v>78</v>
      </c>
      <c r="G30" s="75">
        <v>16830</v>
      </c>
      <c r="H30" s="82">
        <v>4207.5</v>
      </c>
    </row>
    <row r="31" spans="1:8">
      <c r="A31" s="56" t="s">
        <v>199</v>
      </c>
      <c r="B31" s="57" t="s">
        <v>200</v>
      </c>
      <c r="C31" s="57" t="s">
        <v>44</v>
      </c>
      <c r="D31" s="57" t="s">
        <v>201</v>
      </c>
      <c r="E31" s="57" t="s">
        <v>202</v>
      </c>
      <c r="F31" s="57" t="s">
        <v>22</v>
      </c>
      <c r="G31" s="66">
        <f>'[1]DELTAPLUS 2ND'!$G$42</f>
        <v>18522</v>
      </c>
      <c r="H31" s="66">
        <f>'[1]DELTAPLUS 2ND'!$G$42</f>
        <v>18522</v>
      </c>
    </row>
    <row r="32" spans="1:8">
      <c r="A32" s="56" t="s">
        <v>209</v>
      </c>
      <c r="B32" s="57" t="s">
        <v>147</v>
      </c>
      <c r="C32" s="57" t="s">
        <v>44</v>
      </c>
      <c r="D32" s="57" t="s">
        <v>210</v>
      </c>
      <c r="E32" s="57" t="s">
        <v>211</v>
      </c>
      <c r="F32" s="57" t="s">
        <v>22</v>
      </c>
      <c r="G32" s="66">
        <f>'[1]DELTAPLUS 2ND'!$G$39</f>
        <v>21013.44</v>
      </c>
      <c r="H32" s="66">
        <f>'[1]DELTAPLUS 2ND'!$G$39</f>
        <v>21013.44</v>
      </c>
    </row>
    <row r="33" spans="1:8">
      <c r="A33" s="56" t="s">
        <v>218</v>
      </c>
      <c r="B33" s="57" t="s">
        <v>200</v>
      </c>
      <c r="C33" s="57" t="s">
        <v>44</v>
      </c>
      <c r="D33" s="57" t="s">
        <v>210</v>
      </c>
      <c r="E33" s="57" t="s">
        <v>211</v>
      </c>
      <c r="F33" s="57" t="s">
        <v>22</v>
      </c>
      <c r="G33" s="83">
        <f>'[1]DELTAPLUS 1ST'!$G$34</f>
        <v>20097</v>
      </c>
      <c r="H33" s="83">
        <f>'[1]DELTAPLUS 1ST'!$G$34</f>
        <v>20097</v>
      </c>
    </row>
    <row r="34" spans="1:8">
      <c r="A34" s="56" t="s">
        <v>226</v>
      </c>
      <c r="B34" s="57" t="s">
        <v>756</v>
      </c>
      <c r="C34" s="57" t="s">
        <v>802</v>
      </c>
      <c r="D34" s="57" t="s">
        <v>191</v>
      </c>
      <c r="E34" s="57" t="s">
        <v>192</v>
      </c>
      <c r="F34" s="57" t="s">
        <v>22</v>
      </c>
      <c r="G34" s="83">
        <f>'[1]DELTAPLUS 1ST'!$G$34</f>
        <v>20097</v>
      </c>
      <c r="H34" s="83">
        <f>'[1]DELTAPLUS 1ST'!$G$34</f>
        <v>20097</v>
      </c>
    </row>
    <row r="35" spans="1:8">
      <c r="A35" s="56" t="s">
        <v>234</v>
      </c>
      <c r="B35" s="57" t="s">
        <v>763</v>
      </c>
      <c r="C35" s="57" t="s">
        <v>44</v>
      </c>
      <c r="D35" s="57" t="s">
        <v>235</v>
      </c>
      <c r="E35" s="57" t="s">
        <v>236</v>
      </c>
      <c r="F35" s="57" t="s">
        <v>22</v>
      </c>
      <c r="G35" s="81">
        <v>17892</v>
      </c>
      <c r="H35" s="81">
        <v>17892</v>
      </c>
    </row>
    <row r="36" spans="1:8">
      <c r="A36" s="56" t="s">
        <v>445</v>
      </c>
      <c r="B36" s="57" t="s">
        <v>200</v>
      </c>
      <c r="C36" s="57" t="s">
        <v>44</v>
      </c>
      <c r="D36" s="57" t="s">
        <v>180</v>
      </c>
      <c r="E36" s="57" t="s">
        <v>181</v>
      </c>
      <c r="F36" s="57" t="s">
        <v>22</v>
      </c>
      <c r="G36" s="66">
        <f>'[1]DELTAPLUS 2ND'!$G$44</f>
        <v>18522</v>
      </c>
      <c r="H36" s="66">
        <f>'[1]DELTAPLUS 2ND'!$G$44</f>
        <v>18522</v>
      </c>
    </row>
    <row r="37" spans="1:8">
      <c r="A37" s="67" t="s">
        <v>251</v>
      </c>
      <c r="B37" s="57" t="s">
        <v>763</v>
      </c>
      <c r="C37" s="57" t="s">
        <v>44</v>
      </c>
      <c r="D37" s="57" t="s">
        <v>252</v>
      </c>
      <c r="E37" s="64" t="s">
        <v>253</v>
      </c>
      <c r="F37" s="57" t="s">
        <v>22</v>
      </c>
      <c r="G37" s="84">
        <v>16830</v>
      </c>
      <c r="H37" s="85">
        <v>14025</v>
      </c>
    </row>
    <row r="38" spans="1:8">
      <c r="A38" s="56" t="s">
        <v>390</v>
      </c>
      <c r="B38" s="57" t="s">
        <v>763</v>
      </c>
      <c r="C38" s="57" t="s">
        <v>44</v>
      </c>
      <c r="D38" s="57" t="s">
        <v>191</v>
      </c>
      <c r="E38" s="57" t="s">
        <v>192</v>
      </c>
      <c r="F38" s="57" t="s">
        <v>22</v>
      </c>
      <c r="G38" s="81">
        <f>'[1]DELTAPLUS 1ST'!$G$31</f>
        <v>19572</v>
      </c>
      <c r="H38" s="81">
        <f>'[1]DELTAPLUS 1ST'!$G$31</f>
        <v>19572</v>
      </c>
    </row>
    <row r="39" spans="1:8">
      <c r="A39" s="56" t="s">
        <v>260</v>
      </c>
      <c r="B39" s="57" t="s">
        <v>147</v>
      </c>
      <c r="C39" s="57" t="s">
        <v>44</v>
      </c>
      <c r="D39" s="57" t="s">
        <v>210</v>
      </c>
      <c r="E39" s="57" t="s">
        <v>211</v>
      </c>
      <c r="F39" s="57" t="s">
        <v>22</v>
      </c>
      <c r="G39" s="83">
        <f>'[1]DELTAPLUS 2ND'!$G$40</f>
        <v>21013.44</v>
      </c>
      <c r="H39" s="83">
        <f>'[1]DELTAPLUS 2ND'!$G$40</f>
        <v>21013.44</v>
      </c>
    </row>
    <row r="40" spans="1:8">
      <c r="A40" s="56" t="s">
        <v>267</v>
      </c>
      <c r="B40" s="57" t="s">
        <v>158</v>
      </c>
      <c r="C40" s="57" t="s">
        <v>44</v>
      </c>
      <c r="D40" s="57" t="s">
        <v>201</v>
      </c>
      <c r="E40" s="57" t="s">
        <v>202</v>
      </c>
      <c r="F40" s="57" t="s">
        <v>22</v>
      </c>
      <c r="G40" s="83">
        <f>'[1]DELTAPLUS 1ST'!$G$35</f>
        <v>19572</v>
      </c>
      <c r="H40" s="83">
        <f>'[1]DELTAPLUS 1ST'!$G$35</f>
        <v>19572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zoomScale="70" zoomScaleNormal="70" workbookViewId="0">
      <selection activeCell="B2" sqref="B2:N3"/>
    </sheetView>
  </sheetViews>
  <sheetFormatPr defaultColWidth="9" defaultRowHeight="13.2"/>
  <cols>
    <col min="1" max="1" width="3.72222222222222" style="3" customWidth="1"/>
    <col min="2" max="2" width="31.9074074074074" style="3" customWidth="1"/>
    <col min="3" max="3" width="26.8148148148148" style="1" customWidth="1"/>
    <col min="4" max="4" width="18.8148148148148" style="3" customWidth="1"/>
    <col min="5" max="5" width="20.6296296296296" style="3" customWidth="1"/>
    <col min="6" max="6" width="15.1759259259259" style="4" customWidth="1"/>
    <col min="7" max="7" width="13.8148148148148" style="1" hidden="1" customWidth="1"/>
    <col min="8" max="8" width="0.268518518518519" style="5" customWidth="1"/>
    <col min="9" max="9" width="14.8148148148148" style="1" customWidth="1"/>
    <col min="10" max="10" width="15.7222222222222" style="1" customWidth="1"/>
    <col min="11" max="11" width="13.9074074074074" style="1" customWidth="1"/>
    <col min="12" max="12" width="17.7222222222222" style="1" customWidth="1"/>
    <col min="13" max="13" width="17.4537037037037" style="1" customWidth="1"/>
    <col min="14" max="14" width="18.0925925925926" style="1" customWidth="1"/>
    <col min="15" max="16384" width="8.72222222222222" style="3"/>
  </cols>
  <sheetData>
    <row r="1" spans="2:2">
      <c r="B1" s="6" t="s">
        <v>0</v>
      </c>
    </row>
    <row r="2" s="1" customFormat="1" spans="2:14">
      <c r="B2" s="7" t="s">
        <v>803</v>
      </c>
      <c r="F2" s="4"/>
      <c r="H2" s="8" t="s">
        <v>804</v>
      </c>
      <c r="I2" s="44" t="s">
        <v>9</v>
      </c>
      <c r="J2" s="44" t="s">
        <v>9</v>
      </c>
      <c r="K2" s="45" t="s">
        <v>10</v>
      </c>
      <c r="L2" s="45" t="s">
        <v>10</v>
      </c>
      <c r="M2" s="26" t="s">
        <v>11</v>
      </c>
      <c r="N2" s="26" t="s">
        <v>11</v>
      </c>
    </row>
    <row r="3" spans="2:14">
      <c r="B3" s="9" t="s">
        <v>2</v>
      </c>
      <c r="C3" s="9" t="s">
        <v>3</v>
      </c>
      <c r="D3" s="9" t="s">
        <v>5</v>
      </c>
      <c r="E3" s="9" t="s">
        <v>6</v>
      </c>
      <c r="F3" s="9" t="s">
        <v>8</v>
      </c>
      <c r="G3" s="10" t="s">
        <v>805</v>
      </c>
      <c r="H3" s="8" t="s">
        <v>806</v>
      </c>
      <c r="I3" s="9" t="s">
        <v>807</v>
      </c>
      <c r="J3" s="9" t="s">
        <v>808</v>
      </c>
      <c r="K3" s="9" t="s">
        <v>807</v>
      </c>
      <c r="L3" s="9" t="s">
        <v>809</v>
      </c>
      <c r="M3" s="9" t="s">
        <v>807</v>
      </c>
      <c r="N3" s="9" t="s">
        <v>808</v>
      </c>
    </row>
    <row r="4" s="1" customFormat="1" spans="2:14">
      <c r="B4" s="11" t="s">
        <v>16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>
      <c r="A5" s="3">
        <v>1</v>
      </c>
      <c r="B5" s="12" t="s">
        <v>17</v>
      </c>
      <c r="C5" s="13" t="s">
        <v>18</v>
      </c>
      <c r="D5" s="13" t="s">
        <v>20</v>
      </c>
      <c r="E5" s="13" t="s">
        <v>21</v>
      </c>
      <c r="F5" s="14">
        <v>243721.48</v>
      </c>
      <c r="G5" s="15"/>
      <c r="H5" s="16"/>
      <c r="I5" s="46">
        <v>3530</v>
      </c>
      <c r="J5" s="47">
        <v>1750</v>
      </c>
      <c r="K5" s="13">
        <v>2500</v>
      </c>
      <c r="L5" s="13">
        <v>2500</v>
      </c>
      <c r="M5" s="13">
        <v>200</v>
      </c>
      <c r="N5" s="13">
        <v>200</v>
      </c>
    </row>
    <row r="6" spans="1:14">
      <c r="A6" s="3">
        <v>2</v>
      </c>
      <c r="B6" s="12" t="s">
        <v>30</v>
      </c>
      <c r="C6" s="13" t="s">
        <v>31</v>
      </c>
      <c r="D6" s="13" t="s">
        <v>33</v>
      </c>
      <c r="E6" s="17" t="s">
        <v>34</v>
      </c>
      <c r="F6" s="18">
        <v>25750</v>
      </c>
      <c r="G6" s="19"/>
      <c r="H6" s="17"/>
      <c r="I6" s="17">
        <v>2630</v>
      </c>
      <c r="J6" s="13">
        <v>1300</v>
      </c>
      <c r="K6" s="13">
        <v>643.75</v>
      </c>
      <c r="L6" s="13">
        <v>643.75</v>
      </c>
      <c r="M6" s="13">
        <v>200</v>
      </c>
      <c r="N6" s="13">
        <v>200</v>
      </c>
    </row>
    <row r="7" spans="1:14">
      <c r="A7" s="3">
        <v>3</v>
      </c>
      <c r="B7" s="12" t="s">
        <v>42</v>
      </c>
      <c r="C7" s="13" t="s">
        <v>43</v>
      </c>
      <c r="D7" s="13" t="s">
        <v>45</v>
      </c>
      <c r="E7" s="13" t="s">
        <v>46</v>
      </c>
      <c r="F7" s="18" t="s">
        <v>810</v>
      </c>
      <c r="H7" s="17"/>
      <c r="I7" s="17">
        <v>1930</v>
      </c>
      <c r="J7" s="13">
        <v>950</v>
      </c>
      <c r="K7" s="13">
        <v>472.61</v>
      </c>
      <c r="L7" s="13">
        <v>472.61</v>
      </c>
      <c r="M7" s="13">
        <v>200</v>
      </c>
      <c r="N7" s="13">
        <v>200</v>
      </c>
    </row>
    <row r="8" spans="1:14">
      <c r="A8" s="3">
        <v>4</v>
      </c>
      <c r="B8" s="12" t="s">
        <v>53</v>
      </c>
      <c r="C8" s="13" t="s">
        <v>54</v>
      </c>
      <c r="D8" s="13" t="s">
        <v>55</v>
      </c>
      <c r="E8" s="13" t="s">
        <v>56</v>
      </c>
      <c r="F8" s="18" t="s">
        <v>810</v>
      </c>
      <c r="G8" s="19"/>
      <c r="H8" s="17"/>
      <c r="I8" s="17">
        <v>1930</v>
      </c>
      <c r="J8" s="13">
        <v>950</v>
      </c>
      <c r="K8" s="13">
        <v>472.61</v>
      </c>
      <c r="L8" s="13">
        <v>472.61</v>
      </c>
      <c r="M8" s="13">
        <v>200</v>
      </c>
      <c r="N8" s="13">
        <v>200</v>
      </c>
    </row>
    <row r="9" spans="2:14">
      <c r="B9" s="20" t="s">
        <v>64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="2" customFormat="1" spans="1:14">
      <c r="A10" s="2">
        <v>5</v>
      </c>
      <c r="B10" s="21" t="s">
        <v>79</v>
      </c>
      <c r="C10" s="17" t="s">
        <v>80</v>
      </c>
      <c r="D10" s="17" t="s">
        <v>811</v>
      </c>
      <c r="E10" s="17" t="s">
        <v>812</v>
      </c>
      <c r="F10" s="22">
        <v>23000</v>
      </c>
      <c r="G10" s="23"/>
      <c r="H10" s="17"/>
      <c r="I10" s="17">
        <v>2330</v>
      </c>
      <c r="J10" s="17">
        <v>1150</v>
      </c>
      <c r="K10" s="17">
        <v>575</v>
      </c>
      <c r="L10" s="17">
        <v>575</v>
      </c>
      <c r="M10" s="13">
        <v>200</v>
      </c>
      <c r="N10" s="13">
        <v>200</v>
      </c>
    </row>
    <row r="11" spans="1:14">
      <c r="A11" s="3">
        <v>6</v>
      </c>
      <c r="B11" s="12" t="s">
        <v>83</v>
      </c>
      <c r="C11" s="13" t="s">
        <v>813</v>
      </c>
      <c r="D11" s="13" t="s">
        <v>814</v>
      </c>
      <c r="E11" s="17" t="s">
        <v>86</v>
      </c>
      <c r="F11" s="24">
        <v>19000</v>
      </c>
      <c r="G11" s="19"/>
      <c r="H11" s="17"/>
      <c r="I11" s="17">
        <v>1930</v>
      </c>
      <c r="J11" s="13">
        <v>950</v>
      </c>
      <c r="K11" s="13">
        <v>475</v>
      </c>
      <c r="L11" s="13">
        <v>475</v>
      </c>
      <c r="M11" s="13">
        <v>200</v>
      </c>
      <c r="N11" s="13">
        <v>200</v>
      </c>
    </row>
    <row r="12" s="2" customFormat="1" spans="1:14">
      <c r="A12" s="2">
        <v>7</v>
      </c>
      <c r="B12" s="21" t="s">
        <v>74</v>
      </c>
      <c r="C12" s="17" t="s">
        <v>815</v>
      </c>
      <c r="D12" s="17" t="s">
        <v>816</v>
      </c>
      <c r="E12" s="17" t="s">
        <v>817</v>
      </c>
      <c r="F12" s="22">
        <v>32000</v>
      </c>
      <c r="G12" s="23"/>
      <c r="H12" s="17"/>
      <c r="I12" s="17">
        <v>3230</v>
      </c>
      <c r="J12" s="17">
        <v>1600</v>
      </c>
      <c r="K12" s="17">
        <v>800</v>
      </c>
      <c r="L12" s="17">
        <v>800</v>
      </c>
      <c r="M12" s="13">
        <v>200</v>
      </c>
      <c r="N12" s="13">
        <v>200</v>
      </c>
    </row>
    <row r="13" spans="1:14">
      <c r="A13" s="3">
        <v>8</v>
      </c>
      <c r="B13" s="12" t="s">
        <v>65</v>
      </c>
      <c r="C13" s="13" t="s">
        <v>66</v>
      </c>
      <c r="D13" s="13" t="s">
        <v>818</v>
      </c>
      <c r="E13" s="13" t="s">
        <v>819</v>
      </c>
      <c r="F13" s="24">
        <v>60000</v>
      </c>
      <c r="G13" s="19"/>
      <c r="H13" s="17"/>
      <c r="I13" s="46">
        <v>3530</v>
      </c>
      <c r="J13" s="13">
        <v>1750</v>
      </c>
      <c r="K13" s="13">
        <v>1500</v>
      </c>
      <c r="L13" s="13">
        <v>1500</v>
      </c>
      <c r="M13" s="13">
        <v>200</v>
      </c>
      <c r="N13" s="13">
        <v>200</v>
      </c>
    </row>
    <row r="14" spans="2:14">
      <c r="B14" s="25" t="s">
        <v>93</v>
      </c>
      <c r="C14" s="26"/>
      <c r="D14" s="26"/>
      <c r="E14" s="26"/>
      <c r="F14" s="27"/>
      <c r="G14" s="28"/>
      <c r="H14" s="29"/>
      <c r="I14" s="29"/>
      <c r="J14" s="29"/>
      <c r="K14" s="29"/>
      <c r="L14" s="29"/>
      <c r="M14" s="29"/>
      <c r="N14" s="29"/>
    </row>
    <row r="15" spans="1:14">
      <c r="A15" s="3">
        <v>9</v>
      </c>
      <c r="B15" s="12" t="s">
        <v>94</v>
      </c>
      <c r="C15" s="13" t="s">
        <v>95</v>
      </c>
      <c r="D15" s="13" t="s">
        <v>96</v>
      </c>
      <c r="E15" s="13" t="s">
        <v>97</v>
      </c>
      <c r="F15" s="22">
        <v>88133.53</v>
      </c>
      <c r="G15" s="30"/>
      <c r="H15" s="17"/>
      <c r="I15" s="46">
        <v>3530</v>
      </c>
      <c r="J15" s="13">
        <v>1750</v>
      </c>
      <c r="K15" s="13">
        <v>2203.34</v>
      </c>
      <c r="L15" s="13">
        <v>2203.34</v>
      </c>
      <c r="M15" s="13">
        <v>200</v>
      </c>
      <c r="N15" s="13">
        <v>200</v>
      </c>
    </row>
    <row r="16" spans="1:14">
      <c r="A16" s="3">
        <v>10</v>
      </c>
      <c r="B16" s="12" t="s">
        <v>667</v>
      </c>
      <c r="C16" s="13" t="s">
        <v>820</v>
      </c>
      <c r="D16" s="13" t="s">
        <v>107</v>
      </c>
      <c r="E16" s="13" t="s">
        <v>821</v>
      </c>
      <c r="F16" s="22">
        <v>35000</v>
      </c>
      <c r="G16" s="30"/>
      <c r="H16" s="17"/>
      <c r="I16" s="46">
        <v>3530</v>
      </c>
      <c r="J16" s="13">
        <v>1750</v>
      </c>
      <c r="K16" s="13">
        <v>875</v>
      </c>
      <c r="L16" s="13">
        <v>875</v>
      </c>
      <c r="M16" s="13">
        <v>200</v>
      </c>
      <c r="N16" s="13">
        <v>200</v>
      </c>
    </row>
    <row r="17" spans="1:14">
      <c r="A17" s="3">
        <v>11</v>
      </c>
      <c r="B17" s="12" t="s">
        <v>115</v>
      </c>
      <c r="C17" s="13" t="s">
        <v>822</v>
      </c>
      <c r="D17" s="13" t="s">
        <v>823</v>
      </c>
      <c r="E17" s="13" t="s">
        <v>824</v>
      </c>
      <c r="F17" s="22">
        <v>35000</v>
      </c>
      <c r="G17" s="30"/>
      <c r="H17" s="17"/>
      <c r="I17" s="46">
        <v>3530</v>
      </c>
      <c r="J17" s="13">
        <v>1750</v>
      </c>
      <c r="K17" s="13">
        <v>875</v>
      </c>
      <c r="L17" s="13">
        <v>875</v>
      </c>
      <c r="M17" s="13">
        <v>200</v>
      </c>
      <c r="N17" s="13">
        <v>200</v>
      </c>
    </row>
    <row r="18" spans="1:14">
      <c r="A18" s="3">
        <v>12</v>
      </c>
      <c r="B18" s="12" t="s">
        <v>142</v>
      </c>
      <c r="C18" s="13" t="s">
        <v>143</v>
      </c>
      <c r="D18" s="13" t="s">
        <v>825</v>
      </c>
      <c r="E18" s="13" t="s">
        <v>826</v>
      </c>
      <c r="F18" s="22">
        <v>35000</v>
      </c>
      <c r="G18" s="30"/>
      <c r="H18" s="17"/>
      <c r="I18" s="46">
        <v>3530</v>
      </c>
      <c r="J18" s="13">
        <v>1750</v>
      </c>
      <c r="K18" s="13">
        <v>875</v>
      </c>
      <c r="L18" s="13">
        <v>875</v>
      </c>
      <c r="M18" s="13">
        <v>200</v>
      </c>
      <c r="N18" s="13">
        <v>200</v>
      </c>
    </row>
    <row r="19" spans="1:14">
      <c r="A19" s="3">
        <v>13</v>
      </c>
      <c r="B19" s="12" t="s">
        <v>117</v>
      </c>
      <c r="C19" s="13" t="s">
        <v>140</v>
      </c>
      <c r="D19" s="13" t="s">
        <v>120</v>
      </c>
      <c r="E19" s="13" t="s">
        <v>827</v>
      </c>
      <c r="F19" s="31">
        <v>19000</v>
      </c>
      <c r="G19" s="32"/>
      <c r="H19" s="17"/>
      <c r="I19" s="17">
        <v>1730</v>
      </c>
      <c r="J19" s="13">
        <v>850</v>
      </c>
      <c r="K19" s="13">
        <v>420.75</v>
      </c>
      <c r="L19" s="13">
        <v>420.75</v>
      </c>
      <c r="M19" s="13">
        <v>200</v>
      </c>
      <c r="N19" s="13">
        <v>200</v>
      </c>
    </row>
    <row r="20" spans="1:14">
      <c r="A20" s="3">
        <v>14</v>
      </c>
      <c r="B20" s="12" t="s">
        <v>139</v>
      </c>
      <c r="C20" s="13" t="s">
        <v>140</v>
      </c>
      <c r="D20" s="13" t="s">
        <v>828</v>
      </c>
      <c r="E20" s="13" t="s">
        <v>829</v>
      </c>
      <c r="F20" s="31">
        <v>25000</v>
      </c>
      <c r="G20" s="32"/>
      <c r="H20" s="17"/>
      <c r="I20" s="48">
        <v>2530</v>
      </c>
      <c r="J20" s="13">
        <v>1250</v>
      </c>
      <c r="K20" s="13">
        <v>625</v>
      </c>
      <c r="L20" s="13">
        <v>625</v>
      </c>
      <c r="M20" s="13">
        <v>200</v>
      </c>
      <c r="N20" s="13">
        <v>200</v>
      </c>
    </row>
    <row r="21" spans="2:14">
      <c r="B21" s="33" t="s">
        <v>145</v>
      </c>
      <c r="C21" s="34"/>
      <c r="D21" s="34"/>
      <c r="E21" s="34"/>
      <c r="F21" s="35"/>
      <c r="G21" s="36"/>
      <c r="H21" s="34"/>
      <c r="I21" s="34"/>
      <c r="J21" s="34"/>
      <c r="K21" s="34"/>
      <c r="L21" s="34"/>
      <c r="M21" s="34"/>
      <c r="N21" s="34"/>
    </row>
    <row r="22" spans="1:14">
      <c r="A22" s="3">
        <v>15</v>
      </c>
      <c r="B22" s="12" t="s">
        <v>167</v>
      </c>
      <c r="C22" s="13" t="s">
        <v>168</v>
      </c>
      <c r="D22" s="13" t="s">
        <v>169</v>
      </c>
      <c r="E22" s="13" t="s">
        <v>170</v>
      </c>
      <c r="F22" s="37">
        <v>46355.77</v>
      </c>
      <c r="G22" s="32"/>
      <c r="H22" s="17"/>
      <c r="I22" s="46">
        <v>3530</v>
      </c>
      <c r="J22" s="13">
        <v>1750</v>
      </c>
      <c r="K22" s="13">
        <v>1158.89</v>
      </c>
      <c r="L22" s="13">
        <v>1158.89</v>
      </c>
      <c r="M22" s="13">
        <v>200</v>
      </c>
      <c r="N22" s="13">
        <v>200</v>
      </c>
    </row>
    <row r="23" spans="1:14">
      <c r="A23" s="3">
        <v>16</v>
      </c>
      <c r="B23" s="12" t="s">
        <v>189</v>
      </c>
      <c r="C23" s="13" t="s">
        <v>190</v>
      </c>
      <c r="D23" s="13" t="s">
        <v>191</v>
      </c>
      <c r="E23" s="13" t="s">
        <v>192</v>
      </c>
      <c r="F23" s="37">
        <v>30203.36</v>
      </c>
      <c r="G23" s="32"/>
      <c r="H23" s="17"/>
      <c r="I23" s="17">
        <v>3030</v>
      </c>
      <c r="J23" s="13">
        <v>1500</v>
      </c>
      <c r="K23" s="13">
        <v>755.08</v>
      </c>
      <c r="L23" s="13">
        <v>755.09</v>
      </c>
      <c r="M23" s="13">
        <v>200</v>
      </c>
      <c r="N23" s="13">
        <v>200</v>
      </c>
    </row>
    <row r="24" spans="1:14">
      <c r="A24" s="3">
        <v>17</v>
      </c>
      <c r="B24" s="12" t="s">
        <v>445</v>
      </c>
      <c r="C24" s="13" t="s">
        <v>830</v>
      </c>
      <c r="D24" s="13" t="s">
        <v>180</v>
      </c>
      <c r="E24" s="13" t="s">
        <v>181</v>
      </c>
      <c r="F24" s="24">
        <v>19077.66</v>
      </c>
      <c r="G24" s="19"/>
      <c r="H24" s="17"/>
      <c r="I24" s="17">
        <v>1930</v>
      </c>
      <c r="J24" s="13">
        <v>950</v>
      </c>
      <c r="K24" s="13">
        <v>476.94</v>
      </c>
      <c r="L24" s="13">
        <v>476.94</v>
      </c>
      <c r="M24" s="13">
        <v>200</v>
      </c>
      <c r="N24" s="13">
        <v>200</v>
      </c>
    </row>
    <row r="25" spans="1:14">
      <c r="A25" s="3">
        <v>18</v>
      </c>
      <c r="B25" s="12" t="s">
        <v>226</v>
      </c>
      <c r="C25" s="13" t="s">
        <v>756</v>
      </c>
      <c r="D25" s="13" t="s">
        <v>191</v>
      </c>
      <c r="E25" s="13" t="s">
        <v>192</v>
      </c>
      <c r="F25" s="38">
        <v>20699.91</v>
      </c>
      <c r="G25" s="39"/>
      <c r="H25" s="17"/>
      <c r="I25" s="17">
        <v>2030</v>
      </c>
      <c r="J25" s="13">
        <v>1025</v>
      </c>
      <c r="K25" s="13">
        <v>517.5</v>
      </c>
      <c r="L25" s="13">
        <v>517.5</v>
      </c>
      <c r="M25" s="13">
        <v>200</v>
      </c>
      <c r="N25" s="13">
        <v>200</v>
      </c>
    </row>
    <row r="26" spans="1:14">
      <c r="A26" s="3">
        <v>19</v>
      </c>
      <c r="B26" s="12" t="s">
        <v>157</v>
      </c>
      <c r="C26" s="13" t="s">
        <v>763</v>
      </c>
      <c r="D26" s="13" t="s">
        <v>160</v>
      </c>
      <c r="E26" s="13" t="s">
        <v>161</v>
      </c>
      <c r="F26" s="24">
        <v>19040.73</v>
      </c>
      <c r="G26" s="19"/>
      <c r="H26" s="17"/>
      <c r="I26" s="17">
        <v>1930</v>
      </c>
      <c r="J26" s="13">
        <v>950</v>
      </c>
      <c r="K26" s="13">
        <v>476.02</v>
      </c>
      <c r="L26" s="13">
        <v>476.02</v>
      </c>
      <c r="M26" s="13">
        <v>200</v>
      </c>
      <c r="N26" s="13">
        <v>200</v>
      </c>
    </row>
    <row r="27" spans="1:14">
      <c r="A27" s="3">
        <v>20</v>
      </c>
      <c r="B27" s="12" t="s">
        <v>218</v>
      </c>
      <c r="C27" s="13" t="s">
        <v>763</v>
      </c>
      <c r="D27" s="13" t="s">
        <v>210</v>
      </c>
      <c r="E27" s="13" t="s">
        <v>211</v>
      </c>
      <c r="F27" s="38">
        <f>'[1]DELTAPLUS 1ST'!$G$34</f>
        <v>20097</v>
      </c>
      <c r="G27" s="39"/>
      <c r="H27" s="17"/>
      <c r="I27" s="17">
        <v>2030</v>
      </c>
      <c r="J27" s="13">
        <v>1000</v>
      </c>
      <c r="K27" s="13">
        <v>502.95</v>
      </c>
      <c r="L27" s="13">
        <v>502.95</v>
      </c>
      <c r="M27" s="13">
        <v>200</v>
      </c>
      <c r="N27" s="13">
        <v>200</v>
      </c>
    </row>
    <row r="28" spans="1:14">
      <c r="A28" s="3">
        <v>21</v>
      </c>
      <c r="B28" s="12" t="s">
        <v>234</v>
      </c>
      <c r="C28" s="13" t="s">
        <v>763</v>
      </c>
      <c r="D28" s="13" t="s">
        <v>235</v>
      </c>
      <c r="E28" s="13" t="s">
        <v>236</v>
      </c>
      <c r="F28" s="37">
        <v>18428.76</v>
      </c>
      <c r="G28" s="32"/>
      <c r="H28" s="17"/>
      <c r="I28" s="17">
        <v>1850</v>
      </c>
      <c r="J28" s="13">
        <v>925</v>
      </c>
      <c r="K28" s="13">
        <v>460.72</v>
      </c>
      <c r="L28" s="13">
        <v>460.72</v>
      </c>
      <c r="M28" s="13">
        <v>200</v>
      </c>
      <c r="N28" s="13">
        <v>200</v>
      </c>
    </row>
    <row r="29" spans="1:14">
      <c r="A29" s="3">
        <v>22</v>
      </c>
      <c r="B29" s="40" t="s">
        <v>831</v>
      </c>
      <c r="C29" s="41" t="s">
        <v>763</v>
      </c>
      <c r="D29" s="41" t="s">
        <v>832</v>
      </c>
      <c r="E29" s="41" t="s">
        <v>833</v>
      </c>
      <c r="F29" s="37">
        <v>18127.92</v>
      </c>
      <c r="G29" s="32"/>
      <c r="H29" s="17"/>
      <c r="I29" s="17">
        <v>1830</v>
      </c>
      <c r="J29" s="13">
        <v>900</v>
      </c>
      <c r="K29" s="13">
        <v>453.2</v>
      </c>
      <c r="L29" s="13">
        <v>453.2</v>
      </c>
      <c r="M29" s="13">
        <v>200</v>
      </c>
      <c r="N29" s="13">
        <v>200</v>
      </c>
    </row>
    <row r="30" spans="1:14">
      <c r="A30" s="3">
        <v>23</v>
      </c>
      <c r="B30" s="40" t="s">
        <v>274</v>
      </c>
      <c r="C30" s="41" t="s">
        <v>763</v>
      </c>
      <c r="D30" s="41" t="s">
        <v>834</v>
      </c>
      <c r="E30" s="41" t="s">
        <v>835</v>
      </c>
      <c r="F30" s="24">
        <v>18127.92</v>
      </c>
      <c r="G30" s="19"/>
      <c r="H30" s="17"/>
      <c r="I30" s="17">
        <v>1830</v>
      </c>
      <c r="J30" s="13">
        <v>900</v>
      </c>
      <c r="K30" s="13">
        <v>453.2</v>
      </c>
      <c r="L30" s="13">
        <v>453.2</v>
      </c>
      <c r="M30" s="13">
        <v>200</v>
      </c>
      <c r="N30" s="13">
        <v>200</v>
      </c>
    </row>
    <row r="31" spans="1:14">
      <c r="A31" s="3">
        <v>24</v>
      </c>
      <c r="B31" s="12" t="s">
        <v>267</v>
      </c>
      <c r="C31" s="13" t="s">
        <v>763</v>
      </c>
      <c r="D31" s="13" t="s">
        <v>201</v>
      </c>
      <c r="E31" s="13" t="s">
        <v>202</v>
      </c>
      <c r="F31" s="38">
        <v>20159.16</v>
      </c>
      <c r="G31" s="39"/>
      <c r="H31" s="17"/>
      <c r="I31" s="17">
        <v>2030</v>
      </c>
      <c r="J31" s="13">
        <v>1000</v>
      </c>
      <c r="K31" s="13">
        <v>503.98</v>
      </c>
      <c r="L31" s="13">
        <v>503.98</v>
      </c>
      <c r="M31" s="13">
        <v>200</v>
      </c>
      <c r="N31" s="13">
        <v>200</v>
      </c>
    </row>
    <row r="32" spans="1:14">
      <c r="A32" s="3">
        <v>25</v>
      </c>
      <c r="B32" s="12" t="s">
        <v>146</v>
      </c>
      <c r="C32" s="13" t="s">
        <v>147</v>
      </c>
      <c r="D32" s="13" t="s">
        <v>210</v>
      </c>
      <c r="E32" s="13" t="s">
        <v>149</v>
      </c>
      <c r="F32" s="24">
        <v>21709.6</v>
      </c>
      <c r="G32" s="19"/>
      <c r="H32" s="17"/>
      <c r="I32" s="17">
        <v>2180</v>
      </c>
      <c r="J32" s="13">
        <v>1075</v>
      </c>
      <c r="K32" s="13">
        <v>542.74</v>
      </c>
      <c r="L32" s="13">
        <v>542.74</v>
      </c>
      <c r="M32" s="13">
        <v>200</v>
      </c>
      <c r="N32" s="13">
        <v>200</v>
      </c>
    </row>
    <row r="33" spans="1:14">
      <c r="A33" s="3">
        <v>26</v>
      </c>
      <c r="B33" s="12" t="s">
        <v>209</v>
      </c>
      <c r="C33" s="13" t="s">
        <v>147</v>
      </c>
      <c r="D33" s="13" t="s">
        <v>210</v>
      </c>
      <c r="E33" s="13" t="s">
        <v>211</v>
      </c>
      <c r="F33" s="24">
        <v>21643.84</v>
      </c>
      <c r="G33" s="19"/>
      <c r="H33" s="17"/>
      <c r="I33" s="17">
        <v>2180</v>
      </c>
      <c r="J33" s="13">
        <v>1075</v>
      </c>
      <c r="K33" s="13">
        <v>541.09</v>
      </c>
      <c r="L33" s="13">
        <v>541.1</v>
      </c>
      <c r="M33" s="13">
        <v>200</v>
      </c>
      <c r="N33" s="13">
        <v>200</v>
      </c>
    </row>
    <row r="34" spans="1:14">
      <c r="A34" s="3">
        <v>27</v>
      </c>
      <c r="B34" s="12" t="s">
        <v>260</v>
      </c>
      <c r="C34" s="13" t="s">
        <v>147</v>
      </c>
      <c r="D34" s="13" t="s">
        <v>210</v>
      </c>
      <c r="E34" s="13" t="s">
        <v>211</v>
      </c>
      <c r="F34" s="38">
        <f>'[1]DELTAPLUS 2ND'!$G$40</f>
        <v>21013.44</v>
      </c>
      <c r="G34" s="39"/>
      <c r="H34" s="17"/>
      <c r="I34" s="17">
        <v>2130</v>
      </c>
      <c r="J34" s="13">
        <v>1050</v>
      </c>
      <c r="K34" s="13">
        <v>541.09</v>
      </c>
      <c r="L34" s="13">
        <v>541.09</v>
      </c>
      <c r="M34" s="13">
        <v>200</v>
      </c>
      <c r="N34" s="13">
        <v>200</v>
      </c>
    </row>
    <row r="35" spans="1:14">
      <c r="A35" s="3">
        <v>28</v>
      </c>
      <c r="B35" s="12" t="s">
        <v>178</v>
      </c>
      <c r="C35" s="13" t="s">
        <v>179</v>
      </c>
      <c r="D35" s="13" t="s">
        <v>180</v>
      </c>
      <c r="E35" s="13" t="s">
        <v>181</v>
      </c>
      <c r="F35" s="24">
        <v>19077.66</v>
      </c>
      <c r="G35" s="19"/>
      <c r="H35" s="17"/>
      <c r="I35" s="17">
        <v>1930</v>
      </c>
      <c r="J35" s="13">
        <v>950</v>
      </c>
      <c r="K35" s="13">
        <v>476.94</v>
      </c>
      <c r="L35" s="13">
        <v>476.94</v>
      </c>
      <c r="M35" s="13">
        <v>200</v>
      </c>
      <c r="N35" s="13">
        <v>200</v>
      </c>
    </row>
    <row r="36" spans="1:14">
      <c r="A36" s="3">
        <v>29</v>
      </c>
      <c r="B36" s="12" t="s">
        <v>199</v>
      </c>
      <c r="C36" s="13" t="s">
        <v>836</v>
      </c>
      <c r="D36" s="13" t="s">
        <v>201</v>
      </c>
      <c r="E36" s="13" t="s">
        <v>202</v>
      </c>
      <c r="F36" s="24">
        <v>19077.66</v>
      </c>
      <c r="G36" s="19"/>
      <c r="H36" s="17"/>
      <c r="I36" s="17">
        <v>1930</v>
      </c>
      <c r="J36" s="13">
        <v>950</v>
      </c>
      <c r="K36" s="13">
        <v>476.94</v>
      </c>
      <c r="L36" s="13">
        <v>476.94</v>
      </c>
      <c r="M36" s="13">
        <v>200</v>
      </c>
      <c r="N36" s="13">
        <v>200</v>
      </c>
    </row>
    <row r="37" spans="1:14">
      <c r="A37" s="3">
        <v>30</v>
      </c>
      <c r="B37" s="12" t="s">
        <v>251</v>
      </c>
      <c r="C37" s="13" t="s">
        <v>836</v>
      </c>
      <c r="D37" s="13" t="s">
        <v>252</v>
      </c>
      <c r="E37" s="13" t="s">
        <v>253</v>
      </c>
      <c r="F37" s="31">
        <v>18127.92</v>
      </c>
      <c r="G37" s="32"/>
      <c r="H37" s="17"/>
      <c r="I37" s="17">
        <v>1830</v>
      </c>
      <c r="J37" s="13">
        <v>900</v>
      </c>
      <c r="K37" s="13">
        <v>431.83</v>
      </c>
      <c r="L37" s="13">
        <v>431.83</v>
      </c>
      <c r="M37" s="13">
        <v>200</v>
      </c>
      <c r="N37" s="13">
        <v>200</v>
      </c>
    </row>
    <row r="38" s="2" customFormat="1" spans="2:14">
      <c r="B38" s="42"/>
      <c r="C38" s="17"/>
      <c r="D38" s="17"/>
      <c r="E38" s="17"/>
      <c r="F38" s="43"/>
      <c r="G38" s="16"/>
      <c r="H38" s="17"/>
      <c r="I38" s="17"/>
      <c r="J38" s="17"/>
      <c r="K38" s="17"/>
      <c r="L38" s="17"/>
      <c r="M38" s="17"/>
      <c r="N38" s="17"/>
    </row>
  </sheetData>
  <pageMargins left="0.393700787401575" right="0.393700787401575" top="0.393700787401575" bottom="0.393700787401575" header="0.393700787401575" footer="0.31496062992126"/>
  <pageSetup paperSize="9" scale="6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DELTAPLUS-EMPLOYEES DIRECTORY</vt:lpstr>
      <vt:lpstr>RESIGNED EMPLOYEES</vt:lpstr>
      <vt:lpstr>Bank Account</vt:lpstr>
      <vt:lpstr>SMART PLAN</vt:lpstr>
      <vt:lpstr>LAPTOP</vt:lpstr>
      <vt:lpstr>Sizes of Shoes and Shirts</vt:lpstr>
      <vt:lpstr>MOBILE PHONE</vt:lpstr>
      <vt:lpstr>2025-Christmas Plans</vt:lpstr>
      <vt:lpstr>TOLL</vt:lpstr>
      <vt:lpstr>Sizes of Jackets</vt:lpstr>
      <vt:lpstr>BIRTHDAY'S</vt:lpstr>
      <vt:lpstr>13th Month-2024</vt:lpstr>
      <vt:lpstr>Deductions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Evangeline Ceniza</dc:creator>
  <cp:lastModifiedBy>Bryan Batan</cp:lastModifiedBy>
  <dcterms:created xsi:type="dcterms:W3CDTF">2024-03-07T00:55:00Z</dcterms:created>
  <cp:lastPrinted>2026-01-12T09:35:00Z</cp:lastPrinted>
  <dcterms:modified xsi:type="dcterms:W3CDTF">2026-03-17T02:00:13Z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BA9BF8EFA5564B4CAB9C5C5C6D9143F0_12</vt:lpwstr>
  </property>
  <property fmtid="{D5CDD505-2E9C-101B-9397-08002B2CF9AE}" pid="3" name="KSOProductBuildVer">
    <vt:lpwstr>1033-12.2.0.23196</vt:lpwstr>
  </property>
</Properties>
</file>